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uiruri.PLANKE-KILIFI\Desktop\Benard\My Project\My work\"/>
    </mc:Choice>
  </mc:AlternateContent>
  <xr:revisionPtr revIDLastSave="0" documentId="8_{9B9F0018-1C64-4845-BB3C-3801639DC5C3}" xr6:coauthVersionLast="47" xr6:coauthVersionMax="47" xr10:uidLastSave="{00000000-0000-0000-0000-000000000000}"/>
  <bookViews>
    <workbookView xWindow="-120" yWindow="-120" windowWidth="29040" windowHeight="15720" xr2:uid="{D61BF9C8-90BA-4164-B267-25F57F48F85D}"/>
  </bookViews>
  <sheets>
    <sheet name="Results KAP Women Endlin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4" i="1" l="1"/>
  <c r="E94" i="1"/>
  <c r="D94" i="1"/>
  <c r="C94" i="1"/>
  <c r="F93" i="1"/>
  <c r="E93" i="1"/>
  <c r="D93" i="1"/>
  <c r="C93" i="1"/>
  <c r="F76" i="1"/>
  <c r="E76" i="1"/>
  <c r="I76" i="1" s="1"/>
  <c r="D76" i="1"/>
  <c r="C76" i="1"/>
  <c r="F75" i="1"/>
  <c r="E75" i="1"/>
  <c r="I75" i="1" s="1"/>
  <c r="D75" i="1"/>
  <c r="H75" i="1" s="1"/>
  <c r="C75" i="1"/>
  <c r="F74" i="1"/>
  <c r="E74" i="1"/>
  <c r="I74" i="1" s="1"/>
  <c r="D74" i="1"/>
  <c r="H74" i="1" s="1"/>
  <c r="C74" i="1"/>
  <c r="F73" i="1"/>
  <c r="E73" i="1"/>
  <c r="I73" i="1" s="1"/>
  <c r="D73" i="1"/>
  <c r="H73" i="1" s="1"/>
  <c r="C73" i="1"/>
  <c r="F72" i="1"/>
  <c r="E72" i="1"/>
  <c r="I72" i="1" s="1"/>
  <c r="D72" i="1"/>
  <c r="C72" i="1"/>
  <c r="H72" i="1" s="1"/>
  <c r="H71" i="1"/>
  <c r="F71" i="1"/>
  <c r="E71" i="1"/>
  <c r="I71" i="1" s="1"/>
  <c r="D71" i="1"/>
  <c r="C71" i="1"/>
  <c r="F70" i="1"/>
  <c r="E70" i="1"/>
  <c r="D70" i="1"/>
  <c r="C70" i="1"/>
  <c r="F33" i="1"/>
  <c r="E33" i="1"/>
  <c r="D33" i="1"/>
  <c r="C33" i="1"/>
  <c r="F32" i="1"/>
  <c r="E32" i="1"/>
  <c r="D32" i="1"/>
  <c r="C32" i="1"/>
  <c r="F31" i="1"/>
  <c r="E31" i="1"/>
  <c r="D31" i="1"/>
  <c r="C31" i="1"/>
  <c r="H70" i="1" l="1"/>
  <c r="I70" i="1"/>
  <c r="H76" i="1"/>
</calcChain>
</file>

<file path=xl/sharedStrings.xml><?xml version="1.0" encoding="utf-8"?>
<sst xmlns="http://schemas.openxmlformats.org/spreadsheetml/2006/main" count="245" uniqueCount="107">
  <si>
    <t>GJJ KAP Survey - Women</t>
  </si>
  <si>
    <t>SELF</t>
  </si>
  <si>
    <t>Percentage of Women by level of agreement with  SELF Statements</t>
  </si>
  <si>
    <t>Baseline</t>
  </si>
  <si>
    <t>Strongly agree</t>
  </si>
  <si>
    <t>Agree</t>
  </si>
  <si>
    <t>Disagree</t>
  </si>
  <si>
    <t>Strongly disagree</t>
  </si>
  <si>
    <t>I have many strengths and qualities</t>
  </si>
  <si>
    <t>I believe my feelings and opinions are important</t>
  </si>
  <si>
    <t>I see myself as an equal to those of the opposite gender, and I try to show this through my words and actions</t>
  </si>
  <si>
    <t>Strongly Agree</t>
  </si>
  <si>
    <t>Endline</t>
  </si>
  <si>
    <t>Agreement</t>
  </si>
  <si>
    <t>Disagreement</t>
  </si>
  <si>
    <t>Percentage of Women by frequency of ocurrance related to "I nurture myself with kind, supportive selftalk and self compassion"</t>
  </si>
  <si>
    <t>Frequently</t>
  </si>
  <si>
    <t>Sometimes</t>
  </si>
  <si>
    <t>Rarely</t>
  </si>
  <si>
    <t>Never</t>
  </si>
  <si>
    <t>RELATIONAL</t>
  </si>
  <si>
    <t>Percentage of Women by frequency of ocurrance  of RELATIONAL circumstances</t>
  </si>
  <si>
    <t>Always</t>
  </si>
  <si>
    <t>NA</t>
  </si>
  <si>
    <t>In a normal week, how often do you laugh with your husband/partner?</t>
  </si>
  <si>
    <t>I feel respected by my husband/partner.</t>
  </si>
  <si>
    <t>II feel comfortable voicing disagreement with my husband/partner.</t>
  </si>
  <si>
    <t xml:space="preserve">When my partner and I disagree, the conflict usually escalates. </t>
  </si>
  <si>
    <t>My husband/partner and I talk about our emotions.</t>
  </si>
  <si>
    <t>My husband/partner respects when I say no, or not now, without saying or doing anything to make me feel bad.</t>
  </si>
  <si>
    <t>My partner and I discuss how to share responsibility so that we can work together to meet our personal and family responsibilities and goals.</t>
  </si>
  <si>
    <t>Always / Frequently</t>
  </si>
  <si>
    <t>Rarely / Never</t>
  </si>
  <si>
    <t>DIF AF</t>
  </si>
  <si>
    <t>DIF RN</t>
  </si>
  <si>
    <t>Percentage of Women by level of agreement with  RELATIONAL Statements</t>
  </si>
  <si>
    <t xml:space="preserve">My partner and I are equals in our relationship and work well as a team </t>
  </si>
  <si>
    <t xml:space="preserve">I have friends and/or neighbours in my community who encourage me to grow on my Gender Justice Journey, who stand up for me, and who support me emotionally when practicing gender equality feels difficult </t>
  </si>
  <si>
    <t xml:space="preserve">I havepeople who encourage me to grow on my Gender Justice Journey, who stand up for me and support me </t>
  </si>
  <si>
    <t>Gender Transformation: Shared Responsibility</t>
  </si>
  <si>
    <t>Percentage of Women stating their husband normally support household chores [that are traditionally done by women]</t>
  </si>
  <si>
    <t>No</t>
  </si>
  <si>
    <t>Yes</t>
  </si>
  <si>
    <t>Time since their husbands have been suporting with household chores</t>
  </si>
  <si>
    <t>&lt; 1 month</t>
  </si>
  <si>
    <t>1 month</t>
  </si>
  <si>
    <t>2-6 months</t>
  </si>
  <si>
    <t>7-11 months</t>
  </si>
  <si>
    <t>1 year</t>
  </si>
  <si>
    <t>He has always done this</t>
  </si>
  <si>
    <t xml:space="preserve">More than one year </t>
  </si>
  <si>
    <t>Frequency husbands carry out  household chores according to women</t>
  </si>
  <si>
    <t>Always (Every day)</t>
  </si>
  <si>
    <t>Often (several days a week)</t>
  </si>
  <si>
    <t>Sometimes (several times a month)</t>
  </si>
  <si>
    <t>Rarely (several times a year)</t>
  </si>
  <si>
    <t>Percentage of Women that in the past week have discussed with their husband how to share unpaid household chores and care work</t>
  </si>
  <si>
    <t>Person who started this conversation</t>
  </si>
  <si>
    <t>Cowife</t>
  </si>
  <si>
    <t>Husband/male intimate partner</t>
  </si>
  <si>
    <t>Wife</t>
  </si>
  <si>
    <t>Percentage of Women who claim their husband completed one significant household chore in the past week so that they did not have to do it</t>
  </si>
  <si>
    <t>Type of household chore completed by husband</t>
  </si>
  <si>
    <t>Fetching water</t>
  </si>
  <si>
    <t>Fetching fuel</t>
  </si>
  <si>
    <t>Preparing a family meal</t>
  </si>
  <si>
    <t>Bathing a child</t>
  </si>
  <si>
    <t>Putting a child to bed</t>
  </si>
  <si>
    <t xml:space="preserve">Hours saved during the week due to this support </t>
  </si>
  <si>
    <t>&lt; 1 hour</t>
  </si>
  <si>
    <t>1 hour</t>
  </si>
  <si>
    <t>2-3 hours</t>
  </si>
  <si>
    <t>4-5 hours</t>
  </si>
  <si>
    <t>6-7 hours</t>
  </si>
  <si>
    <t>More than 7 hours</t>
  </si>
  <si>
    <t>Frequency of husband supporting women take time for themselves (rest, conservation work, or business)</t>
  </si>
  <si>
    <t xml:space="preserve">Always </t>
  </si>
  <si>
    <t>Gender Transformation: Shared Power</t>
  </si>
  <si>
    <t>Percentage of households that have had conversations in the past 6 months to change the way decisions are made on important household matters</t>
  </si>
  <si>
    <t xml:space="preserve">Percentage of households that have made important decisions in the past six months    </t>
  </si>
  <si>
    <t>Type of decision taken in the past six months</t>
  </si>
  <si>
    <t xml:space="preserve">Purchase or sell household assets </t>
  </si>
  <si>
    <t>Purchase or sell land</t>
  </si>
  <si>
    <t>Build structures on household land</t>
  </si>
  <si>
    <t>Plant important crops</t>
  </si>
  <si>
    <t>Send or remove a child from school</t>
  </si>
  <si>
    <t>Have another child</t>
  </si>
  <si>
    <t>Invest in a business idea</t>
  </si>
  <si>
    <t xml:space="preserve">Spend money on expensive </t>
  </si>
  <si>
    <t xml:space="preserve">Health care </t>
  </si>
  <si>
    <t xml:space="preserve">Send a child to live in another place, </t>
  </si>
  <si>
    <t xml:space="preserve">To send a child to be married    </t>
  </si>
  <si>
    <t>Person making the decision</t>
  </si>
  <si>
    <t>Husband alone</t>
  </si>
  <si>
    <t>Joint</t>
  </si>
  <si>
    <t>Wife alone</t>
  </si>
  <si>
    <t xml:space="preserve">Percentage of women stating they had equal say when final decision was taken jointly  </t>
  </si>
  <si>
    <t>Gender Transformation: Autonomy and Leadership</t>
  </si>
  <si>
    <t>Percentage of Women that hide their money from their husband if they want to save it</t>
  </si>
  <si>
    <t>Percentage of women that would be supported by their husband if they wanted to become community leader</t>
  </si>
  <si>
    <t xml:space="preserve">Definitely </t>
  </si>
  <si>
    <t xml:space="preserve">Very Probably </t>
  </si>
  <si>
    <t xml:space="preserve">Probably </t>
  </si>
  <si>
    <t xml:space="preserve">Possibly </t>
  </si>
  <si>
    <t xml:space="preserve">Probably Not </t>
  </si>
  <si>
    <t xml:space="preserve">Definitely Not </t>
  </si>
  <si>
    <t xml:space="preserve">Percentage of Women that would be supported by their husbands if they started  or grew their own business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</si>
</sst>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0" fillId="2" borderId="2" xfId="0" applyFill="1" applyBorder="1"/>
    <xf numFmtId="0" fontId="4" fillId="0" borderId="0" xfId="0" applyFont="1"/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" xfId="0" applyBorder="1"/>
    <xf numFmtId="164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/>
    <xf numFmtId="0" fontId="1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0" xfId="0" applyNumberFormat="1"/>
    <xf numFmtId="0" fontId="1" fillId="3" borderId="3" xfId="0" applyFont="1" applyFill="1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muiruri.PLANKE-KILIFI/AppData/Local/Microsoft/Windows/INetCache/Content.Outlook/KDJ00VYF/GJJ%20KAP%20Endli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 KAP Women Endline"/>
      <sheetName val="Results KAP Men Endline"/>
      <sheetName val="KAP-Post"/>
      <sheetName val="Pivot Table Post"/>
      <sheetName val="Results KAP Women"/>
      <sheetName val="Results KAP Men"/>
      <sheetName val="Results Module 1,2&amp;3"/>
      <sheetName val="Data KAP Women"/>
      <sheetName val="PT KAP Women"/>
      <sheetName val="Data KAP Men"/>
      <sheetName val="PT KAP Men"/>
      <sheetName val="Data Module1"/>
      <sheetName val="PT Module 1"/>
      <sheetName val="Data Module 2"/>
      <sheetName val="PT Module 2"/>
      <sheetName val="Data Module 3"/>
      <sheetName val="PT Module 3"/>
    </sheetNames>
    <sheetDataSet>
      <sheetData sheetId="0">
        <row r="16">
          <cell r="C16" t="str">
            <v>Baseline</v>
          </cell>
          <cell r="D16" t="str">
            <v>Endline</v>
          </cell>
        </row>
        <row r="17">
          <cell r="B17" t="str">
            <v>I have many strengths and qualities</v>
          </cell>
          <cell r="C17">
            <v>0.33509234828496043</v>
          </cell>
          <cell r="D17">
            <v>0.50913838120104438</v>
          </cell>
        </row>
        <row r="18">
          <cell r="B18" t="str">
            <v>I believe my feelings and opinions are important</v>
          </cell>
          <cell r="C18">
            <v>0.45910290237467016</v>
          </cell>
          <cell r="D18">
            <v>0.65535248041775462</v>
          </cell>
        </row>
        <row r="19">
          <cell r="B19" t="str">
            <v>I see myself as an equal to those of the opposite gender, and I try to show this through my words and actions</v>
          </cell>
          <cell r="C19">
            <v>0.26912928759894461</v>
          </cell>
          <cell r="D19">
            <v>0.44125326370757179</v>
          </cell>
        </row>
        <row r="30">
          <cell r="C30" t="str">
            <v>Baseline</v>
          </cell>
          <cell r="D30" t="str">
            <v>Endline</v>
          </cell>
        </row>
        <row r="31">
          <cell r="B31" t="str">
            <v>I have many strengths and qualities</v>
          </cell>
          <cell r="C31">
            <v>0.8891820580474934</v>
          </cell>
          <cell r="D31">
            <v>0.97911227154046998</v>
          </cell>
        </row>
        <row r="32">
          <cell r="B32" t="str">
            <v>I believe my feelings and opinions are important</v>
          </cell>
          <cell r="C32">
            <v>0.9525065963060686</v>
          </cell>
          <cell r="D32">
            <v>0.99216710182767631</v>
          </cell>
        </row>
        <row r="33">
          <cell r="B33" t="str">
            <v>I see myself as an equal to those of the opposite gender, and I try to show this through my words and actions</v>
          </cell>
          <cell r="C33">
            <v>0.72823218997361483</v>
          </cell>
          <cell r="D33">
            <v>0.92167101827676245</v>
          </cell>
        </row>
        <row r="37">
          <cell r="C37" t="str">
            <v>Baseline</v>
          </cell>
          <cell r="D37" t="str">
            <v>Endline</v>
          </cell>
        </row>
        <row r="38">
          <cell r="B38" t="str">
            <v>Frequently</v>
          </cell>
          <cell r="C38">
            <v>0.40369393139841686</v>
          </cell>
          <cell r="D38">
            <v>0.63185378590078334</v>
          </cell>
        </row>
        <row r="39">
          <cell r="B39" t="str">
            <v>Sometimes</v>
          </cell>
          <cell r="C39">
            <v>0.46701846965699206</v>
          </cell>
          <cell r="D39">
            <v>0.34986945169712796</v>
          </cell>
        </row>
        <row r="40">
          <cell r="B40" t="str">
            <v>Rarely</v>
          </cell>
          <cell r="C40">
            <v>0.11081794195250659</v>
          </cell>
          <cell r="D40">
            <v>1.8276762402088774E-2</v>
          </cell>
        </row>
        <row r="41">
          <cell r="B41" t="str">
            <v>Never</v>
          </cell>
          <cell r="C41">
            <v>1.8469656992084433E-2</v>
          </cell>
          <cell r="D41">
            <v>0</v>
          </cell>
        </row>
        <row r="92">
          <cell r="C92" t="str">
            <v>Baseline</v>
          </cell>
          <cell r="D92" t="str">
            <v>Endline</v>
          </cell>
        </row>
        <row r="93">
          <cell r="B93" t="str">
            <v xml:space="preserve">My partner and I are equals in our relationship and work well as a team </v>
          </cell>
          <cell r="C93">
            <v>0.71503957783641159</v>
          </cell>
          <cell r="D93">
            <v>0.95950155763239875</v>
          </cell>
        </row>
        <row r="94">
          <cell r="B94" t="str">
            <v xml:space="preserve">I havepeople who encourage me to grow on my Gender Justice Journey, who stand up for me and support me </v>
          </cell>
          <cell r="C94">
            <v>0.78134110787172006</v>
          </cell>
          <cell r="D94">
            <v>0.96226415094339623</v>
          </cell>
        </row>
        <row r="100">
          <cell r="C100">
            <v>0.43641618497109802</v>
          </cell>
          <cell r="D100">
            <v>0.14743589743589744</v>
          </cell>
        </row>
        <row r="101">
          <cell r="C101">
            <v>0.56358381502890176</v>
          </cell>
          <cell r="D101">
            <v>0.85256410256410253</v>
          </cell>
        </row>
        <row r="104">
          <cell r="C104" t="str">
            <v>Baseline</v>
          </cell>
          <cell r="D104" t="str">
            <v>Endline</v>
          </cell>
        </row>
        <row r="105">
          <cell r="B105" t="str">
            <v>&lt; 1 month</v>
          </cell>
          <cell r="C105">
            <v>0.11081794195250659</v>
          </cell>
          <cell r="D105">
            <v>0.13157894736842105</v>
          </cell>
        </row>
        <row r="106">
          <cell r="B106" t="str">
            <v>1 month</v>
          </cell>
          <cell r="C106">
            <v>6.5963060686015831E-2</v>
          </cell>
          <cell r="D106">
            <v>0.10902255639097744</v>
          </cell>
        </row>
        <row r="107">
          <cell r="B107" t="str">
            <v>2-6 months</v>
          </cell>
          <cell r="C107">
            <v>5.0131926121372031E-2</v>
          </cell>
          <cell r="D107">
            <v>1.1278195488721804E-2</v>
          </cell>
        </row>
        <row r="108">
          <cell r="B108" t="str">
            <v>7-11 months</v>
          </cell>
          <cell r="C108">
            <v>1.0554089709762533E-2</v>
          </cell>
          <cell r="D108">
            <v>0</v>
          </cell>
        </row>
        <row r="109">
          <cell r="B109" t="str">
            <v>1 year</v>
          </cell>
          <cell r="C109">
            <v>4.7493403693931395E-2</v>
          </cell>
          <cell r="D109">
            <v>0.26691729323308272</v>
          </cell>
        </row>
        <row r="110">
          <cell r="B110" t="str">
            <v>He has always done this</v>
          </cell>
          <cell r="C110">
            <v>0.59366754617414252</v>
          </cell>
          <cell r="D110">
            <v>0.26691729323308272</v>
          </cell>
        </row>
        <row r="111">
          <cell r="B111" t="str">
            <v xml:space="preserve">More than one year </v>
          </cell>
          <cell r="C111">
            <v>0.12137203166226913</v>
          </cell>
          <cell r="D111">
            <v>0.21428571428571427</v>
          </cell>
        </row>
        <row r="114">
          <cell r="C114" t="str">
            <v>Baseline</v>
          </cell>
          <cell r="D114" t="str">
            <v>Endline</v>
          </cell>
        </row>
        <row r="115">
          <cell r="B115" t="str">
            <v>Always (Every day)</v>
          </cell>
          <cell r="C115">
            <v>0.13720316622691292</v>
          </cell>
          <cell r="D115">
            <v>0.19141914191419143</v>
          </cell>
        </row>
        <row r="116">
          <cell r="B116" t="str">
            <v>Often (several days a week)</v>
          </cell>
          <cell r="C116">
            <v>0.11345646437994723</v>
          </cell>
          <cell r="D116">
            <v>0.37293729372937295</v>
          </cell>
        </row>
        <row r="117">
          <cell r="B117" t="str">
            <v>Sometimes (several times a month)</v>
          </cell>
          <cell r="C117">
            <v>0.26385224274406333</v>
          </cell>
          <cell r="D117">
            <v>0.29042904290429045</v>
          </cell>
        </row>
        <row r="118">
          <cell r="B118" t="str">
            <v>Rarely (several times a year)</v>
          </cell>
          <cell r="C118">
            <v>0.22163588390501318</v>
          </cell>
          <cell r="D118">
            <v>8.9108910891089105E-2</v>
          </cell>
        </row>
        <row r="119">
          <cell r="B119" t="str">
            <v>Never</v>
          </cell>
          <cell r="C119">
            <v>0.26385224274406333</v>
          </cell>
          <cell r="D119">
            <v>5.6105610561056105E-2</v>
          </cell>
        </row>
        <row r="123">
          <cell r="C123">
            <v>0.63716814159292035</v>
          </cell>
          <cell r="D123">
            <v>0.34090909090909088</v>
          </cell>
        </row>
        <row r="124">
          <cell r="C124">
            <v>0.36283185840707965</v>
          </cell>
          <cell r="D124">
            <v>0.65909090909090906</v>
          </cell>
        </row>
        <row r="138">
          <cell r="C138" t="str">
            <v>Baseline</v>
          </cell>
          <cell r="D138" t="str">
            <v>Endline</v>
          </cell>
        </row>
        <row r="139">
          <cell r="B139" t="str">
            <v>Fetching water</v>
          </cell>
          <cell r="C139">
            <v>0.62337662337662336</v>
          </cell>
          <cell r="D139">
            <v>0.79365079365079361</v>
          </cell>
        </row>
        <row r="140">
          <cell r="B140" t="str">
            <v>Fetching fuel</v>
          </cell>
          <cell r="C140">
            <v>0.16883116883116883</v>
          </cell>
          <cell r="D140">
            <v>0.33333333333333331</v>
          </cell>
        </row>
        <row r="141">
          <cell r="B141" t="str">
            <v>Preparing a family meal</v>
          </cell>
          <cell r="C141">
            <v>0.41558441558441561</v>
          </cell>
          <cell r="D141">
            <v>0.38095238095238093</v>
          </cell>
        </row>
        <row r="142">
          <cell r="B142" t="str">
            <v>Bathing a child</v>
          </cell>
          <cell r="C142">
            <v>0.20779220779220781</v>
          </cell>
          <cell r="D142">
            <v>0.14285714285714285</v>
          </cell>
        </row>
        <row r="143">
          <cell r="B143" t="str">
            <v>Putting a child to bed</v>
          </cell>
          <cell r="C143">
            <v>0.2857142857142857</v>
          </cell>
          <cell r="D143">
            <v>0.20634920634920634</v>
          </cell>
        </row>
        <row r="146">
          <cell r="C146" t="str">
            <v>Baseline</v>
          </cell>
          <cell r="D146" t="str">
            <v>Endline</v>
          </cell>
        </row>
        <row r="147">
          <cell r="B147" t="str">
            <v>&lt; 1 hour</v>
          </cell>
          <cell r="C147">
            <v>0.19480519480519481</v>
          </cell>
          <cell r="D147">
            <v>9.5238095238095233E-2</v>
          </cell>
        </row>
        <row r="148">
          <cell r="B148" t="str">
            <v>1 hour</v>
          </cell>
          <cell r="C148">
            <v>0.23376623376623376</v>
          </cell>
          <cell r="D148">
            <v>0.44444444444444442</v>
          </cell>
        </row>
        <row r="149">
          <cell r="B149" t="str">
            <v>2-3 hours</v>
          </cell>
          <cell r="C149">
            <v>0.27272727272727271</v>
          </cell>
          <cell r="D149">
            <v>0.12698412698412698</v>
          </cell>
        </row>
        <row r="150">
          <cell r="B150" t="str">
            <v>4-5 hours</v>
          </cell>
          <cell r="C150">
            <v>0.16883116883116883</v>
          </cell>
          <cell r="D150">
            <v>1.5873015873015872E-2</v>
          </cell>
        </row>
        <row r="151">
          <cell r="B151" t="str">
            <v>6-7 hours</v>
          </cell>
          <cell r="C151">
            <v>5.1948051948051951E-2</v>
          </cell>
          <cell r="D151">
            <v>0</v>
          </cell>
        </row>
        <row r="152">
          <cell r="B152" t="str">
            <v>More than 7 hours</v>
          </cell>
          <cell r="C152">
            <v>7.792207792207792E-2</v>
          </cell>
          <cell r="D152">
            <v>0.31746031746031744</v>
          </cell>
        </row>
        <row r="155">
          <cell r="C155" t="str">
            <v>Baseline</v>
          </cell>
          <cell r="D155" t="str">
            <v>Endline</v>
          </cell>
        </row>
        <row r="156">
          <cell r="B156" t="str">
            <v xml:space="preserve">Always </v>
          </cell>
          <cell r="C156">
            <v>9.7625329815303433E-2</v>
          </cell>
          <cell r="D156">
            <v>0.16710182767624021</v>
          </cell>
        </row>
        <row r="157">
          <cell r="B157" t="str">
            <v>Frequently</v>
          </cell>
          <cell r="C157">
            <v>9.498680738786279E-2</v>
          </cell>
          <cell r="D157">
            <v>0.26631853785900783</v>
          </cell>
        </row>
        <row r="158">
          <cell r="B158" t="str">
            <v>Sometimes</v>
          </cell>
          <cell r="C158">
            <v>0.44327176781002636</v>
          </cell>
          <cell r="D158">
            <v>0.27415143603133157</v>
          </cell>
        </row>
        <row r="159">
          <cell r="B159" t="str">
            <v>Rarely</v>
          </cell>
          <cell r="C159">
            <v>0.13720316622691292</v>
          </cell>
          <cell r="D159">
            <v>6.7885117493472591E-2</v>
          </cell>
        </row>
        <row r="160">
          <cell r="B160" t="str">
            <v>Never</v>
          </cell>
          <cell r="C160">
            <v>0.17414248021108181</v>
          </cell>
          <cell r="D160">
            <v>4.6997389033942558E-2</v>
          </cell>
        </row>
        <row r="161">
          <cell r="B161" t="str">
            <v>NA</v>
          </cell>
          <cell r="C161">
            <v>5.2770448548812667E-2</v>
          </cell>
          <cell r="D161">
            <v>0.17754569190600522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E25E7-137F-4C09-8593-EDE8038499A1}">
  <sheetPr>
    <tabColor theme="7"/>
  </sheetPr>
  <dimension ref="B2:I228"/>
  <sheetViews>
    <sheetView showGridLines="0" tabSelected="1" zoomScale="98" zoomScaleNormal="100" workbookViewId="0">
      <selection activeCell="B23" sqref="B23"/>
    </sheetView>
  </sheetViews>
  <sheetFormatPr defaultRowHeight="15" x14ac:dyDescent="0.25"/>
  <cols>
    <col min="1" max="1" width="4.85546875" customWidth="1"/>
    <col min="2" max="2" width="97.28515625" customWidth="1"/>
    <col min="3" max="3" width="12" customWidth="1"/>
    <col min="4" max="4" width="11" customWidth="1"/>
    <col min="5" max="5" width="10.5703125" customWidth="1"/>
    <col min="6" max="6" width="13.85546875" customWidth="1"/>
    <col min="7" max="7" width="9.28515625" customWidth="1"/>
    <col min="8" max="8" width="11" bestFit="1" customWidth="1"/>
    <col min="9" max="9" width="12.42578125" customWidth="1"/>
    <col min="10" max="10" width="13" customWidth="1"/>
    <col min="11" max="11" width="10.85546875" customWidth="1"/>
    <col min="12" max="12" width="32.7109375" customWidth="1"/>
  </cols>
  <sheetData>
    <row r="2" spans="2:9" ht="23.25" x14ac:dyDescent="0.35">
      <c r="B2" s="1" t="s">
        <v>0</v>
      </c>
    </row>
    <row r="3" spans="2:9" ht="23.25" x14ac:dyDescent="0.35">
      <c r="B3" s="1"/>
    </row>
    <row r="5" spans="2:9" ht="18.75" x14ac:dyDescent="0.3">
      <c r="B5" s="2" t="s">
        <v>1</v>
      </c>
      <c r="C5" s="3"/>
      <c r="D5" s="3"/>
      <c r="E5" s="3"/>
      <c r="F5" s="3"/>
      <c r="G5" s="3"/>
      <c r="H5" s="3"/>
      <c r="I5" s="3"/>
    </row>
    <row r="7" spans="2:9" x14ac:dyDescent="0.25">
      <c r="B7" s="4" t="s">
        <v>2</v>
      </c>
    </row>
    <row r="8" spans="2:9" x14ac:dyDescent="0.25">
      <c r="B8" s="4"/>
      <c r="C8" s="5" t="s">
        <v>3</v>
      </c>
      <c r="D8" s="5"/>
      <c r="E8" s="5"/>
      <c r="F8" s="5"/>
    </row>
    <row r="9" spans="2:9" ht="30" x14ac:dyDescent="0.25">
      <c r="C9" s="6" t="s">
        <v>4</v>
      </c>
      <c r="D9" s="6" t="s">
        <v>5</v>
      </c>
      <c r="E9" s="6" t="s">
        <v>6</v>
      </c>
      <c r="F9" s="6" t="s">
        <v>7</v>
      </c>
      <c r="G9" s="7"/>
    </row>
    <row r="10" spans="2:9" x14ac:dyDescent="0.25">
      <c r="B10" s="8" t="s">
        <v>8</v>
      </c>
      <c r="C10" s="9">
        <v>0.33509234828496043</v>
      </c>
      <c r="D10" s="9">
        <v>0.55408970976253302</v>
      </c>
      <c r="E10" s="9">
        <v>9.2348284960422161E-2</v>
      </c>
      <c r="F10" s="9">
        <v>1.8469656992084433E-2</v>
      </c>
    </row>
    <row r="11" spans="2:9" x14ac:dyDescent="0.25">
      <c r="B11" s="8" t="s">
        <v>9</v>
      </c>
      <c r="C11" s="9">
        <v>0.45910290237467016</v>
      </c>
      <c r="D11" s="9">
        <v>0.49340369393139843</v>
      </c>
      <c r="E11" s="9">
        <v>3.6939313984168866E-2</v>
      </c>
      <c r="F11" s="9">
        <v>1.0554089709762533E-2</v>
      </c>
    </row>
    <row r="12" spans="2:9" x14ac:dyDescent="0.25">
      <c r="B12" s="8" t="s">
        <v>10</v>
      </c>
      <c r="C12" s="9">
        <v>0.26912928759894461</v>
      </c>
      <c r="D12" s="9">
        <v>0.45910290237467016</v>
      </c>
      <c r="E12" s="9">
        <v>0.22427440633245382</v>
      </c>
      <c r="F12" s="9">
        <v>4.7493403693931395E-2</v>
      </c>
    </row>
    <row r="15" spans="2:9" x14ac:dyDescent="0.25">
      <c r="B15" s="4"/>
      <c r="C15" s="5" t="s">
        <v>11</v>
      </c>
      <c r="D15" s="5"/>
      <c r="E15" s="5"/>
      <c r="F15" s="5"/>
    </row>
    <row r="16" spans="2:9" x14ac:dyDescent="0.25">
      <c r="C16" s="6" t="s">
        <v>3</v>
      </c>
      <c r="D16" s="6" t="s">
        <v>12</v>
      </c>
      <c r="E16" s="6"/>
      <c r="F16" s="6"/>
      <c r="G16" s="7"/>
    </row>
    <row r="17" spans="2:9" x14ac:dyDescent="0.25">
      <c r="B17" s="8" t="s">
        <v>8</v>
      </c>
      <c r="C17" s="9">
        <v>0.33509234828496043</v>
      </c>
      <c r="D17" s="9">
        <v>0.50913838120104438</v>
      </c>
      <c r="E17" s="9"/>
      <c r="F17" s="9"/>
    </row>
    <row r="18" spans="2:9" x14ac:dyDescent="0.25">
      <c r="B18" s="8" t="s">
        <v>9</v>
      </c>
      <c r="C18" s="9">
        <v>0.45910290237467016</v>
      </c>
      <c r="D18" s="9">
        <v>0.65535248041775462</v>
      </c>
      <c r="E18" s="9"/>
      <c r="F18" s="9"/>
    </row>
    <row r="19" spans="2:9" x14ac:dyDescent="0.25">
      <c r="B19" s="8" t="s">
        <v>10</v>
      </c>
      <c r="C19" s="9">
        <v>0.26912928759894461</v>
      </c>
      <c r="D19" s="9">
        <v>0.44125326370757179</v>
      </c>
      <c r="E19" s="9"/>
      <c r="F19" s="9"/>
    </row>
    <row r="20" spans="2:9" x14ac:dyDescent="0.25">
      <c r="C20" s="10"/>
      <c r="D20" s="10"/>
      <c r="E20" s="10"/>
      <c r="F20" s="10"/>
    </row>
    <row r="21" spans="2:9" x14ac:dyDescent="0.25">
      <c r="B21" s="4" t="s">
        <v>2</v>
      </c>
    </row>
    <row r="22" spans="2:9" x14ac:dyDescent="0.25">
      <c r="B22" s="4"/>
      <c r="C22" s="5" t="s">
        <v>12</v>
      </c>
      <c r="D22" s="5"/>
      <c r="E22" s="5"/>
      <c r="F22" s="5"/>
      <c r="H22" s="10"/>
      <c r="I22" s="10"/>
    </row>
    <row r="23" spans="2:9" ht="30" x14ac:dyDescent="0.25">
      <c r="C23" s="6" t="s">
        <v>4</v>
      </c>
      <c r="D23" s="6" t="s">
        <v>5</v>
      </c>
      <c r="E23" s="6" t="s">
        <v>6</v>
      </c>
      <c r="F23" s="6" t="s">
        <v>7</v>
      </c>
      <c r="H23" s="10"/>
      <c r="I23" s="10"/>
    </row>
    <row r="24" spans="2:9" x14ac:dyDescent="0.25">
      <c r="B24" s="8" t="s">
        <v>8</v>
      </c>
      <c r="C24" s="9">
        <v>0.50913838120104438</v>
      </c>
      <c r="D24" s="9">
        <v>0.4699738903394256</v>
      </c>
      <c r="E24" s="9">
        <v>1.5665796344647518E-2</v>
      </c>
      <c r="F24" s="9">
        <v>5.2219321148825066E-3</v>
      </c>
      <c r="H24" s="10"/>
      <c r="I24" s="10"/>
    </row>
    <row r="25" spans="2:9" x14ac:dyDescent="0.25">
      <c r="B25" s="8" t="s">
        <v>9</v>
      </c>
      <c r="C25" s="9">
        <v>0.65535248041775462</v>
      </c>
      <c r="D25" s="9">
        <v>0.33681462140992169</v>
      </c>
      <c r="E25" s="9">
        <v>2.6109660574412533E-3</v>
      </c>
      <c r="F25" s="9">
        <v>5.2219321148825066E-3</v>
      </c>
      <c r="H25" s="10"/>
      <c r="I25" s="10"/>
    </row>
    <row r="26" spans="2:9" x14ac:dyDescent="0.25">
      <c r="B26" s="8" t="s">
        <v>10</v>
      </c>
      <c r="C26" s="9">
        <v>0.44125326370757179</v>
      </c>
      <c r="D26" s="9">
        <v>0.48041775456919061</v>
      </c>
      <c r="E26" s="9">
        <v>6.2663185378590072E-2</v>
      </c>
      <c r="F26" s="9">
        <v>1.5665796344647518E-2</v>
      </c>
      <c r="H26" s="10"/>
      <c r="I26" s="10"/>
    </row>
    <row r="27" spans="2:9" x14ac:dyDescent="0.25">
      <c r="C27" s="10"/>
      <c r="D27" s="10"/>
      <c r="E27" s="10"/>
      <c r="F27" s="10"/>
      <c r="H27" s="10"/>
      <c r="I27" s="10"/>
    </row>
    <row r="28" spans="2:9" x14ac:dyDescent="0.25">
      <c r="B28" s="4" t="s">
        <v>2</v>
      </c>
      <c r="C28" s="10"/>
      <c r="D28" s="10"/>
      <c r="E28" s="10"/>
      <c r="F28" s="10"/>
      <c r="H28" s="10"/>
      <c r="I28" s="10"/>
    </row>
    <row r="29" spans="2:9" x14ac:dyDescent="0.25">
      <c r="B29" s="4"/>
      <c r="C29" s="11" t="s">
        <v>13</v>
      </c>
      <c r="D29" s="11"/>
      <c r="E29" s="11" t="s">
        <v>14</v>
      </c>
      <c r="F29" s="11"/>
      <c r="H29" s="10"/>
      <c r="I29" s="10"/>
    </row>
    <row r="30" spans="2:9" x14ac:dyDescent="0.25">
      <c r="C30" s="12" t="s">
        <v>3</v>
      </c>
      <c r="D30" s="12" t="s">
        <v>12</v>
      </c>
      <c r="E30" s="12" t="s">
        <v>3</v>
      </c>
      <c r="F30" s="12" t="s">
        <v>12</v>
      </c>
      <c r="H30" s="10"/>
      <c r="I30" s="10"/>
    </row>
    <row r="31" spans="2:9" x14ac:dyDescent="0.25">
      <c r="B31" s="8" t="s">
        <v>8</v>
      </c>
      <c r="C31" s="9">
        <f>SUM(C10:D10)</f>
        <v>0.8891820580474934</v>
      </c>
      <c r="D31" s="9">
        <f>SUM(C24:D24)</f>
        <v>0.97911227154046998</v>
      </c>
      <c r="E31" s="9">
        <f>SUM(E10:F10)</f>
        <v>0.11081794195250659</v>
      </c>
      <c r="F31" s="9">
        <f>SUM(E24:F24)</f>
        <v>2.0887728459530026E-2</v>
      </c>
      <c r="I31" s="10"/>
    </row>
    <row r="32" spans="2:9" x14ac:dyDescent="0.25">
      <c r="B32" s="8" t="s">
        <v>9</v>
      </c>
      <c r="C32" s="9">
        <f>SUM(C11:D11)</f>
        <v>0.9525065963060686</v>
      </c>
      <c r="D32" s="9">
        <f>SUM(C25:D25)</f>
        <v>0.99216710182767631</v>
      </c>
      <c r="E32" s="9">
        <f>SUM(E11:F11)</f>
        <v>4.7493403693931402E-2</v>
      </c>
      <c r="F32" s="9">
        <f>SUM(E25:F25)</f>
        <v>7.8328981723237608E-3</v>
      </c>
      <c r="H32" s="10"/>
      <c r="I32" s="10"/>
    </row>
    <row r="33" spans="2:9" x14ac:dyDescent="0.25">
      <c r="B33" s="8" t="s">
        <v>10</v>
      </c>
      <c r="C33" s="9">
        <f>SUM(C12:D12)</f>
        <v>0.72823218997361483</v>
      </c>
      <c r="D33" s="9">
        <f>SUM(C26:D26)</f>
        <v>0.92167101827676245</v>
      </c>
      <c r="E33" s="9">
        <f>SUM(E12:F12)</f>
        <v>0.27176781002638523</v>
      </c>
      <c r="F33" s="9">
        <f>SUM(E26:F26)</f>
        <v>7.8328981723237587E-2</v>
      </c>
      <c r="H33" s="10"/>
      <c r="I33" s="10"/>
    </row>
    <row r="34" spans="2:9" x14ac:dyDescent="0.25">
      <c r="C34" s="10"/>
      <c r="D34" s="10"/>
      <c r="E34" s="10"/>
      <c r="F34" s="10"/>
      <c r="H34" s="10"/>
      <c r="I34" s="10"/>
    </row>
    <row r="35" spans="2:9" x14ac:dyDescent="0.25">
      <c r="B35" s="4" t="s">
        <v>15</v>
      </c>
      <c r="C35" s="10"/>
      <c r="D35" s="10"/>
      <c r="E35" s="10"/>
      <c r="F35" s="10"/>
      <c r="H35" s="10"/>
      <c r="I35" s="10"/>
    </row>
    <row r="36" spans="2:9" x14ac:dyDescent="0.25">
      <c r="C36" s="10"/>
      <c r="D36" s="10"/>
      <c r="E36" s="10"/>
      <c r="F36" s="10"/>
      <c r="H36" s="10"/>
      <c r="I36" s="10"/>
    </row>
    <row r="37" spans="2:9" x14ac:dyDescent="0.25">
      <c r="C37" s="12" t="s">
        <v>3</v>
      </c>
      <c r="D37" s="12" t="s">
        <v>12</v>
      </c>
      <c r="E37" s="10"/>
      <c r="F37" s="10"/>
      <c r="H37" s="10"/>
      <c r="I37" s="10"/>
    </row>
    <row r="38" spans="2:9" x14ac:dyDescent="0.25">
      <c r="B38" s="8" t="s">
        <v>16</v>
      </c>
      <c r="C38" s="9">
        <v>0.40369393139841686</v>
      </c>
      <c r="D38" s="9">
        <v>0.63185378590078334</v>
      </c>
      <c r="H38" s="10"/>
      <c r="I38" s="10"/>
    </row>
    <row r="39" spans="2:9" ht="14.45" customHeight="1" x14ac:dyDescent="0.25">
      <c r="B39" s="8" t="s">
        <v>17</v>
      </c>
      <c r="C39" s="9">
        <v>0.46701846965699206</v>
      </c>
      <c r="D39" s="9">
        <v>0.34986945169712796</v>
      </c>
      <c r="H39" s="10"/>
      <c r="I39" s="10"/>
    </row>
    <row r="40" spans="2:9" x14ac:dyDescent="0.25">
      <c r="B40" s="8" t="s">
        <v>18</v>
      </c>
      <c r="C40" s="9">
        <v>0.11081794195250659</v>
      </c>
      <c r="D40" s="9">
        <v>1.8276762402088774E-2</v>
      </c>
      <c r="H40" s="10"/>
      <c r="I40" s="10"/>
    </row>
    <row r="41" spans="2:9" x14ac:dyDescent="0.25">
      <c r="B41" s="8" t="s">
        <v>19</v>
      </c>
      <c r="C41" s="9">
        <v>1.8469656992084433E-2</v>
      </c>
      <c r="D41" s="9">
        <v>0</v>
      </c>
    </row>
    <row r="43" spans="2:9" ht="18.75" x14ac:dyDescent="0.3">
      <c r="B43" s="2" t="s">
        <v>20</v>
      </c>
      <c r="C43" s="3"/>
      <c r="D43" s="3"/>
      <c r="E43" s="3"/>
      <c r="F43" s="3"/>
      <c r="G43" s="3"/>
      <c r="H43" s="3"/>
      <c r="I43" s="3"/>
    </row>
    <row r="44" spans="2:9" ht="18.75" x14ac:dyDescent="0.3">
      <c r="B44" s="13"/>
    </row>
    <row r="45" spans="2:9" x14ac:dyDescent="0.25">
      <c r="B45" s="4" t="s">
        <v>21</v>
      </c>
    </row>
    <row r="46" spans="2:9" x14ac:dyDescent="0.25">
      <c r="B46" s="4"/>
      <c r="C46" s="14" t="s">
        <v>3</v>
      </c>
      <c r="D46" s="14"/>
      <c r="E46" s="14"/>
      <c r="F46" s="14"/>
      <c r="G46" s="14"/>
      <c r="H46" s="14"/>
    </row>
    <row r="47" spans="2:9" x14ac:dyDescent="0.25">
      <c r="C47" s="15" t="s">
        <v>22</v>
      </c>
      <c r="D47" s="15" t="s">
        <v>16</v>
      </c>
      <c r="E47" s="15" t="s">
        <v>17</v>
      </c>
      <c r="F47" s="15" t="s">
        <v>18</v>
      </c>
      <c r="G47" s="15" t="s">
        <v>19</v>
      </c>
      <c r="H47" s="15" t="s">
        <v>23</v>
      </c>
    </row>
    <row r="48" spans="2:9" x14ac:dyDescent="0.25">
      <c r="B48" s="8" t="s">
        <v>24</v>
      </c>
      <c r="C48" s="9"/>
      <c r="D48" s="9">
        <v>0.44854881266490765</v>
      </c>
      <c r="E48" s="9">
        <v>0.39841688654353563</v>
      </c>
      <c r="F48" s="9">
        <v>8.1794195250659632E-2</v>
      </c>
      <c r="G48" s="9">
        <v>6.3324538258575203E-2</v>
      </c>
      <c r="H48" s="9">
        <v>7.9155672823219003E-3</v>
      </c>
    </row>
    <row r="49" spans="2:8" x14ac:dyDescent="0.25">
      <c r="B49" s="8" t="s">
        <v>25</v>
      </c>
      <c r="C49" s="9">
        <v>0.43535620052770446</v>
      </c>
      <c r="D49" s="9">
        <v>0.16094986807387862</v>
      </c>
      <c r="E49" s="9">
        <v>0.26121372031662271</v>
      </c>
      <c r="F49" s="9">
        <v>5.5408970976253295E-2</v>
      </c>
      <c r="G49" s="9">
        <v>4.4854881266490766E-2</v>
      </c>
      <c r="H49" s="9">
        <v>4.221635883905013E-2</v>
      </c>
    </row>
    <row r="50" spans="2:8" x14ac:dyDescent="0.25">
      <c r="B50" s="8" t="s">
        <v>26</v>
      </c>
      <c r="C50" s="9">
        <v>0.24802110817941952</v>
      </c>
      <c r="D50" s="9">
        <v>0.12928759894459102</v>
      </c>
      <c r="E50" s="9">
        <v>0.31398416886543534</v>
      </c>
      <c r="F50" s="9">
        <v>0.13456464379947231</v>
      </c>
      <c r="G50" s="9">
        <v>0.12401055408970976</v>
      </c>
      <c r="H50" s="9">
        <v>5.0131926121372031E-2</v>
      </c>
    </row>
    <row r="51" spans="2:8" x14ac:dyDescent="0.25">
      <c r="B51" s="8" t="s">
        <v>27</v>
      </c>
      <c r="C51" s="9">
        <v>5.8047493403693931E-2</v>
      </c>
      <c r="D51" s="9">
        <v>9.7625329815303433E-2</v>
      </c>
      <c r="E51" s="9">
        <v>0.41424802110817943</v>
      </c>
      <c r="F51" s="9">
        <v>0.25065963060686014</v>
      </c>
      <c r="G51" s="9">
        <v>0.10026385224274406</v>
      </c>
      <c r="H51" s="9">
        <v>7.9155672823219003E-2</v>
      </c>
    </row>
    <row r="52" spans="2:8" x14ac:dyDescent="0.25">
      <c r="B52" s="8" t="s">
        <v>28</v>
      </c>
      <c r="C52" s="9">
        <v>0.22691292875989447</v>
      </c>
      <c r="D52" s="9">
        <v>0.15039577836411611</v>
      </c>
      <c r="E52" s="9">
        <v>0.41424802110817943</v>
      </c>
      <c r="F52" s="9">
        <v>8.4432717678100261E-2</v>
      </c>
      <c r="G52" s="9">
        <v>7.6517150395778361E-2</v>
      </c>
      <c r="H52" s="9">
        <v>4.7493403693931395E-2</v>
      </c>
    </row>
    <row r="53" spans="2:8" x14ac:dyDescent="0.25">
      <c r="B53" s="8" t="s">
        <v>29</v>
      </c>
      <c r="C53" s="9">
        <v>0.14248021108179421</v>
      </c>
      <c r="D53" s="9">
        <v>0.13192612137203166</v>
      </c>
      <c r="E53" s="9">
        <v>0.46437994722955145</v>
      </c>
      <c r="F53" s="9">
        <v>0.11345646437994723</v>
      </c>
      <c r="G53" s="9">
        <v>9.498680738786279E-2</v>
      </c>
      <c r="H53" s="9">
        <v>5.2770448548812667E-2</v>
      </c>
    </row>
    <row r="54" spans="2:8" x14ac:dyDescent="0.25">
      <c r="B54" s="8" t="s">
        <v>30</v>
      </c>
      <c r="C54" s="9">
        <v>0.24538258575197888</v>
      </c>
      <c r="D54" s="9">
        <v>0.14775725593667546</v>
      </c>
      <c r="E54" s="9">
        <v>0.32189973614775724</v>
      </c>
      <c r="F54" s="9">
        <v>0.11081794195250659</v>
      </c>
      <c r="G54" s="9">
        <v>0.11345646437994723</v>
      </c>
      <c r="H54" s="9">
        <v>6.0686015831134567E-2</v>
      </c>
    </row>
    <row r="55" spans="2:8" x14ac:dyDescent="0.25">
      <c r="C55" s="10"/>
      <c r="D55" s="10"/>
      <c r="E55" s="10"/>
      <c r="F55" s="10"/>
      <c r="G55" s="10"/>
      <c r="H55" s="10"/>
    </row>
    <row r="56" spans="2:8" x14ac:dyDescent="0.25">
      <c r="B56" s="4" t="s">
        <v>21</v>
      </c>
    </row>
    <row r="57" spans="2:8" x14ac:dyDescent="0.25">
      <c r="B57" s="4"/>
      <c r="C57" s="14" t="s">
        <v>12</v>
      </c>
      <c r="D57" s="14"/>
      <c r="E57" s="14"/>
      <c r="F57" s="14"/>
      <c r="G57" s="14"/>
      <c r="H57" s="14"/>
    </row>
    <row r="58" spans="2:8" x14ac:dyDescent="0.25">
      <c r="C58" s="15" t="s">
        <v>22</v>
      </c>
      <c r="D58" s="15" t="s">
        <v>16</v>
      </c>
      <c r="E58" s="15" t="s">
        <v>17</v>
      </c>
      <c r="F58" s="15" t="s">
        <v>18</v>
      </c>
      <c r="G58" s="15" t="s">
        <v>19</v>
      </c>
      <c r="H58" s="15" t="s">
        <v>23</v>
      </c>
    </row>
    <row r="59" spans="2:8" x14ac:dyDescent="0.25">
      <c r="B59" s="8" t="s">
        <v>24</v>
      </c>
      <c r="C59" s="9"/>
      <c r="D59" s="9">
        <v>0.5300261096605744</v>
      </c>
      <c r="E59" s="9">
        <v>0.2689295039164491</v>
      </c>
      <c r="F59" s="9">
        <v>2.6109660574412531E-2</v>
      </c>
      <c r="G59" s="9">
        <v>1.5665796344647518E-2</v>
      </c>
      <c r="H59" s="9">
        <v>0.15926892950391644</v>
      </c>
    </row>
    <row r="60" spans="2:8" x14ac:dyDescent="0.25">
      <c r="B60" s="8" t="s">
        <v>25</v>
      </c>
      <c r="C60" s="9">
        <v>0.50652741514360311</v>
      </c>
      <c r="D60" s="9">
        <v>0.195822454308094</v>
      </c>
      <c r="E60" s="9">
        <v>9.6605744125326368E-2</v>
      </c>
      <c r="F60" s="9">
        <v>1.8276762402088774E-2</v>
      </c>
      <c r="G60" s="9">
        <v>2.3498694516971279E-2</v>
      </c>
      <c r="H60" s="9">
        <v>0.15926892950391644</v>
      </c>
    </row>
    <row r="61" spans="2:8" x14ac:dyDescent="0.25">
      <c r="B61" s="8" t="s">
        <v>26</v>
      </c>
      <c r="C61" s="9">
        <v>0.2689295039164491</v>
      </c>
      <c r="D61" s="9">
        <v>0.1906005221932115</v>
      </c>
      <c r="E61" s="9">
        <v>0.18798955613577023</v>
      </c>
      <c r="F61" s="9">
        <v>8.877284595300261E-2</v>
      </c>
      <c r="G61" s="9">
        <v>9.6605744125326368E-2</v>
      </c>
      <c r="H61" s="9">
        <v>0.16710182767624021</v>
      </c>
    </row>
    <row r="62" spans="2:8" x14ac:dyDescent="0.25">
      <c r="B62" s="8" t="s">
        <v>27</v>
      </c>
      <c r="C62" s="9">
        <v>6.5274151436031339E-2</v>
      </c>
      <c r="D62" s="9">
        <v>7.3107049608355096E-2</v>
      </c>
      <c r="E62" s="9">
        <v>0.21148825065274152</v>
      </c>
      <c r="F62" s="9">
        <v>0.23759791122715404</v>
      </c>
      <c r="G62" s="9">
        <v>0.25587467362924282</v>
      </c>
      <c r="H62" s="9">
        <v>0.1566579634464752</v>
      </c>
    </row>
    <row r="63" spans="2:8" x14ac:dyDescent="0.25">
      <c r="B63" s="8" t="s">
        <v>28</v>
      </c>
      <c r="C63" s="9">
        <v>0.25065274151436029</v>
      </c>
      <c r="D63" s="9">
        <v>0.28981723237597912</v>
      </c>
      <c r="E63" s="9">
        <v>0.24804177545691905</v>
      </c>
      <c r="F63" s="9">
        <v>2.0887728459530026E-2</v>
      </c>
      <c r="G63" s="9">
        <v>2.8720626631853787E-2</v>
      </c>
      <c r="H63" s="9">
        <v>0.16187989556135771</v>
      </c>
    </row>
    <row r="64" spans="2:8" x14ac:dyDescent="0.25">
      <c r="B64" s="8" t="s">
        <v>29</v>
      </c>
      <c r="C64" s="9">
        <v>0.29765013054830286</v>
      </c>
      <c r="D64" s="9">
        <v>0.24281984334203655</v>
      </c>
      <c r="E64" s="9">
        <v>0.2349869451697128</v>
      </c>
      <c r="F64" s="9">
        <v>2.8720626631853787E-2</v>
      </c>
      <c r="G64" s="9">
        <v>2.8720626631853787E-2</v>
      </c>
      <c r="H64" s="9">
        <v>0.16710182767624021</v>
      </c>
    </row>
    <row r="65" spans="2:9" x14ac:dyDescent="0.25">
      <c r="B65" s="8" t="s">
        <v>30</v>
      </c>
      <c r="C65" s="9">
        <v>0.36292428198433418</v>
      </c>
      <c r="D65" s="9">
        <v>0.26370757180156656</v>
      </c>
      <c r="E65" s="9">
        <v>0.15404699738903394</v>
      </c>
      <c r="F65" s="9">
        <v>3.91644908616188E-2</v>
      </c>
      <c r="G65" s="9">
        <v>1.8276762402088774E-2</v>
      </c>
      <c r="H65" s="9">
        <v>0.16187989556135771</v>
      </c>
    </row>
    <row r="66" spans="2:9" x14ac:dyDescent="0.25">
      <c r="C66" s="10"/>
      <c r="D66" s="10"/>
      <c r="E66" s="10"/>
      <c r="F66" s="10"/>
      <c r="G66" s="10"/>
      <c r="H66" s="10"/>
    </row>
    <row r="67" spans="2:9" x14ac:dyDescent="0.25">
      <c r="B67" s="4" t="s">
        <v>21</v>
      </c>
    </row>
    <row r="68" spans="2:9" x14ac:dyDescent="0.25">
      <c r="B68" s="4"/>
      <c r="C68" s="11" t="s">
        <v>31</v>
      </c>
      <c r="D68" s="11"/>
      <c r="E68" s="11" t="s">
        <v>32</v>
      </c>
      <c r="F68" s="11"/>
    </row>
    <row r="69" spans="2:9" x14ac:dyDescent="0.25">
      <c r="C69" s="12" t="s">
        <v>3</v>
      </c>
      <c r="D69" s="12" t="s">
        <v>12</v>
      </c>
      <c r="E69" s="12" t="s">
        <v>3</v>
      </c>
      <c r="F69" s="12" t="s">
        <v>12</v>
      </c>
      <c r="H69" s="12" t="s">
        <v>33</v>
      </c>
      <c r="I69" s="12" t="s">
        <v>34</v>
      </c>
    </row>
    <row r="70" spans="2:9" x14ac:dyDescent="0.25">
      <c r="B70" s="8" t="s">
        <v>24</v>
      </c>
      <c r="C70" s="9">
        <f t="shared" ref="C70:C76" si="0">SUM(C48:D48)</f>
        <v>0.44854881266490765</v>
      </c>
      <c r="D70" s="9">
        <f t="shared" ref="D70:D76" si="1">SUM(C59:D59)</f>
        <v>0.5300261096605744</v>
      </c>
      <c r="E70" s="9">
        <f t="shared" ref="E70:E76" si="2">SUM(F48:G48)</f>
        <v>0.14511873350923482</v>
      </c>
      <c r="F70" s="9">
        <f t="shared" ref="F70:F76" si="3">SUM(F59:G59)</f>
        <v>4.1775456919060053E-2</v>
      </c>
      <c r="H70" s="9">
        <f>D70-C70</f>
        <v>8.1477296995666748E-2</v>
      </c>
      <c r="I70" s="9">
        <f>E70-F70</f>
        <v>0.10334327659017477</v>
      </c>
    </row>
    <row r="71" spans="2:9" x14ac:dyDescent="0.25">
      <c r="B71" s="8" t="s">
        <v>25</v>
      </c>
      <c r="C71" s="9">
        <f t="shared" si="0"/>
        <v>0.59630606860158308</v>
      </c>
      <c r="D71" s="9">
        <f t="shared" si="1"/>
        <v>0.70234986945169708</v>
      </c>
      <c r="E71" s="9">
        <f t="shared" si="2"/>
        <v>0.10026385224274406</v>
      </c>
      <c r="F71" s="9">
        <f t="shared" si="3"/>
        <v>4.1775456919060053E-2</v>
      </c>
      <c r="H71" s="9">
        <f t="shared" ref="H71:H76" si="4">D71-C71</f>
        <v>0.106043800850114</v>
      </c>
      <c r="I71" s="9">
        <f t="shared" ref="I71:I76" si="5">E71-F71</f>
        <v>5.8488395323684009E-2</v>
      </c>
    </row>
    <row r="72" spans="2:9" x14ac:dyDescent="0.25">
      <c r="B72" s="8" t="s">
        <v>26</v>
      </c>
      <c r="C72" s="9">
        <f t="shared" si="0"/>
        <v>0.37730870712401055</v>
      </c>
      <c r="D72" s="9">
        <f t="shared" si="1"/>
        <v>0.45953002610966059</v>
      </c>
      <c r="E72" s="9">
        <f t="shared" si="2"/>
        <v>0.25857519788918204</v>
      </c>
      <c r="F72" s="9">
        <f t="shared" si="3"/>
        <v>0.18537859007832896</v>
      </c>
      <c r="G72" s="16"/>
      <c r="H72" s="9">
        <f t="shared" si="4"/>
        <v>8.2221318985650049E-2</v>
      </c>
      <c r="I72" s="9">
        <f t="shared" si="5"/>
        <v>7.3196607810853076E-2</v>
      </c>
    </row>
    <row r="73" spans="2:9" x14ac:dyDescent="0.25">
      <c r="B73" s="8" t="s">
        <v>27</v>
      </c>
      <c r="C73" s="9">
        <f t="shared" si="0"/>
        <v>0.15567282321899736</v>
      </c>
      <c r="D73" s="9">
        <f t="shared" si="1"/>
        <v>0.13838120104438645</v>
      </c>
      <c r="E73" s="9">
        <f t="shared" si="2"/>
        <v>0.35092348284960417</v>
      </c>
      <c r="F73" s="9">
        <f t="shared" si="3"/>
        <v>0.49347258485639689</v>
      </c>
      <c r="G73" s="16"/>
      <c r="H73" s="9">
        <f t="shared" si="4"/>
        <v>-1.7291622174610916E-2</v>
      </c>
      <c r="I73" s="9">
        <f t="shared" si="5"/>
        <v>-0.14254910200679272</v>
      </c>
    </row>
    <row r="74" spans="2:9" x14ac:dyDescent="0.25">
      <c r="B74" s="8" t="s">
        <v>28</v>
      </c>
      <c r="C74" s="9">
        <f t="shared" si="0"/>
        <v>0.37730870712401055</v>
      </c>
      <c r="D74" s="9">
        <f t="shared" si="1"/>
        <v>0.54046997389033935</v>
      </c>
      <c r="E74" s="9">
        <f t="shared" si="2"/>
        <v>0.16094986807387862</v>
      </c>
      <c r="F74" s="9">
        <f t="shared" si="3"/>
        <v>4.960835509138381E-2</v>
      </c>
      <c r="G74" s="16"/>
      <c r="H74" s="9">
        <f t="shared" si="4"/>
        <v>0.16316126676632881</v>
      </c>
      <c r="I74" s="9">
        <f t="shared" si="5"/>
        <v>0.11134151298249481</v>
      </c>
    </row>
    <row r="75" spans="2:9" x14ac:dyDescent="0.25">
      <c r="B75" s="8" t="s">
        <v>29</v>
      </c>
      <c r="C75" s="9">
        <f t="shared" si="0"/>
        <v>0.27440633245382584</v>
      </c>
      <c r="D75" s="9">
        <f t="shared" si="1"/>
        <v>0.54046997389033935</v>
      </c>
      <c r="E75" s="9">
        <f t="shared" si="2"/>
        <v>0.20844327176781002</v>
      </c>
      <c r="F75" s="9">
        <f t="shared" si="3"/>
        <v>5.7441253263707574E-2</v>
      </c>
      <c r="G75" s="16"/>
      <c r="H75" s="9">
        <f t="shared" si="4"/>
        <v>0.26606364143651351</v>
      </c>
      <c r="I75" s="9">
        <f t="shared" si="5"/>
        <v>0.15100201850410244</v>
      </c>
    </row>
    <row r="76" spans="2:9" x14ac:dyDescent="0.25">
      <c r="B76" s="8" t="s">
        <v>30</v>
      </c>
      <c r="C76" s="9">
        <f t="shared" si="0"/>
        <v>0.39313984168865435</v>
      </c>
      <c r="D76" s="9">
        <f t="shared" si="1"/>
        <v>0.62663185378590081</v>
      </c>
      <c r="E76" s="9">
        <f t="shared" si="2"/>
        <v>0.22427440633245382</v>
      </c>
      <c r="F76" s="9">
        <f t="shared" si="3"/>
        <v>5.7441253263707574E-2</v>
      </c>
      <c r="G76" s="16"/>
      <c r="H76" s="9">
        <f t="shared" si="4"/>
        <v>0.23349201209724646</v>
      </c>
      <c r="I76" s="9">
        <f t="shared" si="5"/>
        <v>0.16683315306874624</v>
      </c>
    </row>
    <row r="78" spans="2:9" x14ac:dyDescent="0.25">
      <c r="B78" s="4" t="s">
        <v>35</v>
      </c>
    </row>
    <row r="79" spans="2:9" x14ac:dyDescent="0.25">
      <c r="B79" s="4"/>
      <c r="C79" s="17" t="s">
        <v>3</v>
      </c>
      <c r="D79" s="17"/>
      <c r="E79" s="17"/>
      <c r="F79" s="17"/>
    </row>
    <row r="80" spans="2:9" ht="30" x14ac:dyDescent="0.25">
      <c r="C80" s="6" t="s">
        <v>4</v>
      </c>
      <c r="D80" s="6" t="s">
        <v>5</v>
      </c>
      <c r="E80" s="6" t="s">
        <v>6</v>
      </c>
      <c r="F80" s="6" t="s">
        <v>7</v>
      </c>
    </row>
    <row r="81" spans="2:9" x14ac:dyDescent="0.25">
      <c r="B81" s="8" t="s">
        <v>36</v>
      </c>
      <c r="C81" s="9">
        <v>0.23218997361477572</v>
      </c>
      <c r="D81" s="9">
        <v>0.48284960422163586</v>
      </c>
      <c r="E81" s="9">
        <v>0.22955145118733508</v>
      </c>
      <c r="F81" s="9">
        <v>5.5408970976253295E-2</v>
      </c>
    </row>
    <row r="82" spans="2:9" x14ac:dyDescent="0.25">
      <c r="B82" s="8" t="s">
        <v>37</v>
      </c>
      <c r="C82" s="9">
        <v>0.23615160349854228</v>
      </c>
      <c r="D82" s="9">
        <v>0.54518950437317781</v>
      </c>
      <c r="E82" s="9">
        <v>0.16618075801749271</v>
      </c>
      <c r="F82" s="9">
        <v>5.2478134110787174E-2</v>
      </c>
    </row>
    <row r="83" spans="2:9" x14ac:dyDescent="0.25">
      <c r="C83" s="10"/>
      <c r="D83" s="10"/>
      <c r="E83" s="10"/>
      <c r="F83" s="10"/>
    </row>
    <row r="84" spans="2:9" x14ac:dyDescent="0.25">
      <c r="B84" s="4" t="s">
        <v>35</v>
      </c>
    </row>
    <row r="85" spans="2:9" x14ac:dyDescent="0.25">
      <c r="B85" s="4"/>
      <c r="C85" s="17" t="s">
        <v>12</v>
      </c>
      <c r="D85" s="17"/>
      <c r="E85" s="17"/>
      <c r="F85" s="17"/>
    </row>
    <row r="86" spans="2:9" ht="30" x14ac:dyDescent="0.25">
      <c r="C86" s="6" t="s">
        <v>4</v>
      </c>
      <c r="D86" s="6" t="s">
        <v>5</v>
      </c>
      <c r="E86" s="6" t="s">
        <v>6</v>
      </c>
      <c r="F86" s="6" t="s">
        <v>7</v>
      </c>
    </row>
    <row r="87" spans="2:9" x14ac:dyDescent="0.25">
      <c r="B87" s="8" t="s">
        <v>36</v>
      </c>
      <c r="C87" s="9">
        <v>0.46105919003115264</v>
      </c>
      <c r="D87" s="9">
        <v>0.49844236760124611</v>
      </c>
      <c r="E87" s="9">
        <v>3.1152647975077882E-2</v>
      </c>
      <c r="F87" s="9">
        <v>9.3457943925233638E-3</v>
      </c>
    </row>
    <row r="88" spans="2:9" x14ac:dyDescent="0.25">
      <c r="B88" s="8" t="s">
        <v>37</v>
      </c>
      <c r="C88" s="9">
        <v>0.46091644204851751</v>
      </c>
      <c r="D88" s="9">
        <v>0.50134770889487867</v>
      </c>
      <c r="E88" s="9">
        <v>3.5040431266846361E-2</v>
      </c>
      <c r="F88" s="9">
        <v>2.6954177897574125E-3</v>
      </c>
    </row>
    <row r="89" spans="2:9" x14ac:dyDescent="0.25">
      <c r="C89" s="10"/>
      <c r="D89" s="10"/>
      <c r="E89" s="10"/>
      <c r="F89" s="10"/>
    </row>
    <row r="90" spans="2:9" x14ac:dyDescent="0.25">
      <c r="B90" s="4" t="s">
        <v>35</v>
      </c>
    </row>
    <row r="91" spans="2:9" x14ac:dyDescent="0.25">
      <c r="B91" s="4"/>
      <c r="C91" s="11" t="s">
        <v>13</v>
      </c>
      <c r="D91" s="11"/>
      <c r="E91" s="11" t="s">
        <v>14</v>
      </c>
      <c r="F91" s="11"/>
    </row>
    <row r="92" spans="2:9" x14ac:dyDescent="0.25">
      <c r="C92" s="12" t="s">
        <v>3</v>
      </c>
      <c r="D92" s="12" t="s">
        <v>12</v>
      </c>
      <c r="E92" s="12" t="s">
        <v>3</v>
      </c>
      <c r="F92" s="12" t="s">
        <v>12</v>
      </c>
    </row>
    <row r="93" spans="2:9" x14ac:dyDescent="0.25">
      <c r="B93" s="8" t="s">
        <v>36</v>
      </c>
      <c r="C93" s="9">
        <f>SUM(C81:D81)</f>
        <v>0.71503957783641159</v>
      </c>
      <c r="D93" s="9">
        <f>SUM(C87:D87)</f>
        <v>0.95950155763239875</v>
      </c>
      <c r="E93" s="9">
        <f>SUM(E81:F81)</f>
        <v>0.28496042216358836</v>
      </c>
      <c r="F93" s="9">
        <f>SUM(E87:F87)</f>
        <v>4.0498442367601244E-2</v>
      </c>
    </row>
    <row r="94" spans="2:9" x14ac:dyDescent="0.25">
      <c r="B94" s="8" t="s">
        <v>38</v>
      </c>
      <c r="C94" s="9">
        <f>SUM(C82:D82)</f>
        <v>0.78134110787172006</v>
      </c>
      <c r="D94" s="9">
        <f>SUM(C88:D88)</f>
        <v>0.96226415094339623</v>
      </c>
      <c r="E94" s="9">
        <f>SUM(E82:F82)</f>
        <v>0.21865889212827988</v>
      </c>
      <c r="F94" s="9">
        <f>SUM(E88:F88)</f>
        <v>3.7735849056603772E-2</v>
      </c>
    </row>
    <row r="96" spans="2:9" ht="18.75" x14ac:dyDescent="0.3">
      <c r="B96" s="2" t="s">
        <v>39</v>
      </c>
      <c r="C96" s="3"/>
      <c r="D96" s="3"/>
      <c r="E96" s="3"/>
      <c r="F96" s="3"/>
      <c r="G96" s="3"/>
      <c r="H96" s="3"/>
      <c r="I96" s="3"/>
    </row>
    <row r="98" spans="2:5" x14ac:dyDescent="0.25">
      <c r="B98" s="4" t="s">
        <v>40</v>
      </c>
    </row>
    <row r="99" spans="2:5" x14ac:dyDescent="0.25">
      <c r="B99" s="4"/>
      <c r="C99" s="12" t="s">
        <v>3</v>
      </c>
      <c r="D99" s="12" t="s">
        <v>12</v>
      </c>
    </row>
    <row r="100" spans="2:5" x14ac:dyDescent="0.25">
      <c r="B100" s="8" t="s">
        <v>41</v>
      </c>
      <c r="C100" s="9">
        <v>0.43641618497109802</v>
      </c>
      <c r="D100" s="9">
        <v>0.14743589743589744</v>
      </c>
    </row>
    <row r="101" spans="2:5" x14ac:dyDescent="0.25">
      <c r="B101" s="8" t="s">
        <v>42</v>
      </c>
      <c r="C101" s="9">
        <v>0.56358381502890176</v>
      </c>
      <c r="D101" s="9">
        <v>0.85256410256410253</v>
      </c>
    </row>
    <row r="103" spans="2:5" x14ac:dyDescent="0.25">
      <c r="B103" s="4" t="s">
        <v>43</v>
      </c>
    </row>
    <row r="104" spans="2:5" x14ac:dyDescent="0.25">
      <c r="B104" s="4"/>
      <c r="C104" s="12" t="s">
        <v>3</v>
      </c>
      <c r="D104" s="12" t="s">
        <v>12</v>
      </c>
    </row>
    <row r="105" spans="2:5" x14ac:dyDescent="0.25">
      <c r="B105" s="8" t="s">
        <v>44</v>
      </c>
      <c r="C105" s="9">
        <v>0.11081794195250659</v>
      </c>
      <c r="D105" s="9">
        <v>0.13157894736842105</v>
      </c>
      <c r="E105" s="18"/>
    </row>
    <row r="106" spans="2:5" x14ac:dyDescent="0.25">
      <c r="B106" s="8" t="s">
        <v>45</v>
      </c>
      <c r="C106" s="9">
        <v>6.5963060686015831E-2</v>
      </c>
      <c r="D106" s="9">
        <v>0.10902255639097744</v>
      </c>
      <c r="E106" s="18"/>
    </row>
    <row r="107" spans="2:5" x14ac:dyDescent="0.25">
      <c r="B107" s="8" t="s">
        <v>46</v>
      </c>
      <c r="C107" s="9">
        <v>5.0131926121372031E-2</v>
      </c>
      <c r="D107" s="9">
        <v>1.1278195488721804E-2</v>
      </c>
      <c r="E107" s="18"/>
    </row>
    <row r="108" spans="2:5" x14ac:dyDescent="0.25">
      <c r="B108" s="8" t="s">
        <v>47</v>
      </c>
      <c r="C108" s="9">
        <v>1.0554089709762533E-2</v>
      </c>
      <c r="D108" s="9">
        <v>0</v>
      </c>
      <c r="E108" s="18"/>
    </row>
    <row r="109" spans="2:5" x14ac:dyDescent="0.25">
      <c r="B109" s="8" t="s">
        <v>48</v>
      </c>
      <c r="C109" s="9">
        <v>4.7493403693931395E-2</v>
      </c>
      <c r="D109" s="9">
        <v>0.26691729323308272</v>
      </c>
      <c r="E109" s="18"/>
    </row>
    <row r="110" spans="2:5" x14ac:dyDescent="0.25">
      <c r="B110" s="8" t="s">
        <v>49</v>
      </c>
      <c r="C110" s="9">
        <v>0.59366754617414252</v>
      </c>
      <c r="D110" s="9">
        <v>0.26691729323308272</v>
      </c>
      <c r="E110" s="18"/>
    </row>
    <row r="111" spans="2:5" x14ac:dyDescent="0.25">
      <c r="B111" s="8" t="s">
        <v>50</v>
      </c>
      <c r="C111" s="9">
        <v>0.12137203166226913</v>
      </c>
      <c r="D111" s="9">
        <v>0.21428571428571427</v>
      </c>
      <c r="E111" s="18"/>
    </row>
    <row r="113" spans="2:4" x14ac:dyDescent="0.25">
      <c r="B113" s="4" t="s">
        <v>51</v>
      </c>
    </row>
    <row r="114" spans="2:4" x14ac:dyDescent="0.25">
      <c r="B114" s="4"/>
      <c r="C114" s="12" t="s">
        <v>3</v>
      </c>
      <c r="D114" s="12" t="s">
        <v>12</v>
      </c>
    </row>
    <row r="115" spans="2:4" x14ac:dyDescent="0.25">
      <c r="B115" s="8" t="s">
        <v>52</v>
      </c>
      <c r="C115" s="9">
        <v>0.13720316622691292</v>
      </c>
      <c r="D115" s="9">
        <v>0.19141914191419143</v>
      </c>
    </row>
    <row r="116" spans="2:4" x14ac:dyDescent="0.25">
      <c r="B116" s="8" t="s">
        <v>53</v>
      </c>
      <c r="C116" s="9">
        <v>0.11345646437994723</v>
      </c>
      <c r="D116" s="9">
        <v>0.37293729372937295</v>
      </c>
    </row>
    <row r="117" spans="2:4" x14ac:dyDescent="0.25">
      <c r="B117" s="8" t="s">
        <v>54</v>
      </c>
      <c r="C117" s="9">
        <v>0.26385224274406333</v>
      </c>
      <c r="D117" s="9">
        <v>0.29042904290429045</v>
      </c>
    </row>
    <row r="118" spans="2:4" x14ac:dyDescent="0.25">
      <c r="B118" s="8" t="s">
        <v>55</v>
      </c>
      <c r="C118" s="9">
        <v>0.22163588390501318</v>
      </c>
      <c r="D118" s="9">
        <v>8.9108910891089105E-2</v>
      </c>
    </row>
    <row r="119" spans="2:4" x14ac:dyDescent="0.25">
      <c r="B119" s="8" t="s">
        <v>19</v>
      </c>
      <c r="C119" s="9">
        <v>0.26385224274406333</v>
      </c>
      <c r="D119" s="9">
        <v>5.6105610561056105E-2</v>
      </c>
    </row>
    <row r="121" spans="2:4" x14ac:dyDescent="0.25">
      <c r="B121" s="4" t="s">
        <v>56</v>
      </c>
    </row>
    <row r="122" spans="2:4" x14ac:dyDescent="0.25">
      <c r="B122" s="4"/>
      <c r="C122" s="12" t="s">
        <v>3</v>
      </c>
      <c r="D122" s="12" t="s">
        <v>12</v>
      </c>
    </row>
    <row r="123" spans="2:4" x14ac:dyDescent="0.25">
      <c r="B123" s="8" t="s">
        <v>41</v>
      </c>
      <c r="C123" s="9">
        <v>0.63716814159292035</v>
      </c>
      <c r="D123" s="9">
        <v>0.34090909090909088</v>
      </c>
    </row>
    <row r="124" spans="2:4" x14ac:dyDescent="0.25">
      <c r="B124" s="8" t="s">
        <v>42</v>
      </c>
      <c r="C124" s="9">
        <v>0.36283185840707965</v>
      </c>
      <c r="D124" s="9">
        <v>0.65909090909090906</v>
      </c>
    </row>
    <row r="126" spans="2:4" x14ac:dyDescent="0.25">
      <c r="B126" s="4" t="s">
        <v>57</v>
      </c>
    </row>
    <row r="127" spans="2:4" x14ac:dyDescent="0.25">
      <c r="B127" s="4"/>
      <c r="C127" s="12" t="s">
        <v>3</v>
      </c>
      <c r="D127" s="12" t="s">
        <v>12</v>
      </c>
    </row>
    <row r="128" spans="2:4" x14ac:dyDescent="0.25">
      <c r="B128" s="8" t="s">
        <v>58</v>
      </c>
      <c r="C128" s="9">
        <v>1.6260162601626018E-2</v>
      </c>
      <c r="D128" s="9">
        <v>9.852216748768473E-3</v>
      </c>
    </row>
    <row r="129" spans="2:4" x14ac:dyDescent="0.25">
      <c r="B129" s="8" t="s">
        <v>59</v>
      </c>
      <c r="C129" s="9">
        <v>0.32520325203252032</v>
      </c>
      <c r="D129" s="9">
        <v>0.2857142857142857</v>
      </c>
    </row>
    <row r="130" spans="2:4" x14ac:dyDescent="0.25">
      <c r="B130" s="8" t="s">
        <v>60</v>
      </c>
      <c r="C130" s="9">
        <v>0.65853658536585369</v>
      </c>
      <c r="D130" s="9">
        <v>0.70443349753694584</v>
      </c>
    </row>
    <row r="131" spans="2:4" x14ac:dyDescent="0.25">
      <c r="C131" s="18"/>
    </row>
    <row r="132" spans="2:4" x14ac:dyDescent="0.25">
      <c r="B132" s="4" t="s">
        <v>61</v>
      </c>
    </row>
    <row r="133" spans="2:4" x14ac:dyDescent="0.25">
      <c r="B133" s="4"/>
      <c r="C133" s="12" t="s">
        <v>3</v>
      </c>
      <c r="D133" s="12" t="s">
        <v>12</v>
      </c>
    </row>
    <row r="134" spans="2:4" x14ac:dyDescent="0.25">
      <c r="B134" s="8" t="s">
        <v>41</v>
      </c>
      <c r="C134" s="9">
        <v>0.63507109004739337</v>
      </c>
      <c r="D134" s="9">
        <v>0.42727272727272725</v>
      </c>
    </row>
    <row r="135" spans="2:4" x14ac:dyDescent="0.25">
      <c r="B135" s="8" t="s">
        <v>42</v>
      </c>
      <c r="C135" s="9">
        <v>0.36492890995260663</v>
      </c>
      <c r="D135" s="9">
        <v>0.57272727272727275</v>
      </c>
    </row>
    <row r="136" spans="2:4" x14ac:dyDescent="0.25">
      <c r="C136" s="18"/>
    </row>
    <row r="137" spans="2:4" x14ac:dyDescent="0.25">
      <c r="B137" s="4" t="s">
        <v>62</v>
      </c>
      <c r="C137" s="18"/>
    </row>
    <row r="138" spans="2:4" x14ac:dyDescent="0.25">
      <c r="B138" s="4"/>
      <c r="C138" s="12" t="s">
        <v>3</v>
      </c>
      <c r="D138" s="12" t="s">
        <v>12</v>
      </c>
    </row>
    <row r="139" spans="2:4" x14ac:dyDescent="0.25">
      <c r="B139" s="8" t="s">
        <v>63</v>
      </c>
      <c r="C139" s="9">
        <v>0.62337662337662336</v>
      </c>
      <c r="D139" s="9">
        <v>0.79365079365079361</v>
      </c>
    </row>
    <row r="140" spans="2:4" x14ac:dyDescent="0.25">
      <c r="B140" s="8" t="s">
        <v>64</v>
      </c>
      <c r="C140" s="9">
        <v>0.16883116883116883</v>
      </c>
      <c r="D140" s="9">
        <v>0.33333333333333331</v>
      </c>
    </row>
    <row r="141" spans="2:4" x14ac:dyDescent="0.25">
      <c r="B141" s="8" t="s">
        <v>65</v>
      </c>
      <c r="C141" s="9">
        <v>0.41558441558441561</v>
      </c>
      <c r="D141" s="9">
        <v>0.38095238095238093</v>
      </c>
    </row>
    <row r="142" spans="2:4" x14ac:dyDescent="0.25">
      <c r="B142" s="8" t="s">
        <v>66</v>
      </c>
      <c r="C142" s="9">
        <v>0.20779220779220781</v>
      </c>
      <c r="D142" s="9">
        <v>0.14285714285714285</v>
      </c>
    </row>
    <row r="143" spans="2:4" x14ac:dyDescent="0.25">
      <c r="B143" s="8" t="s">
        <v>67</v>
      </c>
      <c r="C143" s="9">
        <v>0.2857142857142857</v>
      </c>
      <c r="D143" s="9">
        <v>0.20634920634920634</v>
      </c>
    </row>
    <row r="144" spans="2:4" x14ac:dyDescent="0.25">
      <c r="C144" s="18"/>
      <c r="D144" s="18"/>
    </row>
    <row r="145" spans="2:4" x14ac:dyDescent="0.25">
      <c r="B145" s="4" t="s">
        <v>68</v>
      </c>
    </row>
    <row r="146" spans="2:4" x14ac:dyDescent="0.25">
      <c r="B146" s="4"/>
      <c r="C146" s="12" t="s">
        <v>3</v>
      </c>
      <c r="D146" s="12" t="s">
        <v>12</v>
      </c>
    </row>
    <row r="147" spans="2:4" x14ac:dyDescent="0.25">
      <c r="B147" s="8" t="s">
        <v>69</v>
      </c>
      <c r="C147" s="9">
        <v>0.19480519480519481</v>
      </c>
      <c r="D147" s="9">
        <v>9.5238095238095233E-2</v>
      </c>
    </row>
    <row r="148" spans="2:4" x14ac:dyDescent="0.25">
      <c r="B148" s="8" t="s">
        <v>70</v>
      </c>
      <c r="C148" s="9">
        <v>0.23376623376623376</v>
      </c>
      <c r="D148" s="9">
        <v>0.44444444444444442</v>
      </c>
    </row>
    <row r="149" spans="2:4" x14ac:dyDescent="0.25">
      <c r="B149" s="8" t="s">
        <v>71</v>
      </c>
      <c r="C149" s="9">
        <v>0.27272727272727271</v>
      </c>
      <c r="D149" s="9">
        <v>0.12698412698412698</v>
      </c>
    </row>
    <row r="150" spans="2:4" x14ac:dyDescent="0.25">
      <c r="B150" s="8" t="s">
        <v>72</v>
      </c>
      <c r="C150" s="9">
        <v>0.16883116883116883</v>
      </c>
      <c r="D150" s="9">
        <v>1.5873015873015872E-2</v>
      </c>
    </row>
    <row r="151" spans="2:4" x14ac:dyDescent="0.25">
      <c r="B151" s="8" t="s">
        <v>73</v>
      </c>
      <c r="C151" s="9">
        <v>5.1948051948051951E-2</v>
      </c>
      <c r="D151" s="9">
        <v>0</v>
      </c>
    </row>
    <row r="152" spans="2:4" x14ac:dyDescent="0.25">
      <c r="B152" s="8" t="s">
        <v>74</v>
      </c>
      <c r="C152" s="9">
        <v>7.792207792207792E-2</v>
      </c>
      <c r="D152" s="9">
        <v>0.31746031746031744</v>
      </c>
    </row>
    <row r="153" spans="2:4" x14ac:dyDescent="0.25">
      <c r="C153" s="18"/>
    </row>
    <row r="154" spans="2:4" x14ac:dyDescent="0.25">
      <c r="B154" s="4" t="s">
        <v>75</v>
      </c>
    </row>
    <row r="155" spans="2:4" x14ac:dyDescent="0.25">
      <c r="B155" s="4"/>
      <c r="C155" s="12" t="s">
        <v>3</v>
      </c>
      <c r="D155" s="12" t="s">
        <v>12</v>
      </c>
    </row>
    <row r="156" spans="2:4" x14ac:dyDescent="0.25">
      <c r="B156" s="8" t="s">
        <v>76</v>
      </c>
      <c r="C156" s="9">
        <v>9.7625329815303433E-2</v>
      </c>
      <c r="D156" s="9">
        <v>0.16710182767624021</v>
      </c>
    </row>
    <row r="157" spans="2:4" x14ac:dyDescent="0.25">
      <c r="B157" s="8" t="s">
        <v>16</v>
      </c>
      <c r="C157" s="9">
        <v>9.498680738786279E-2</v>
      </c>
      <c r="D157" s="9">
        <v>0.26631853785900783</v>
      </c>
    </row>
    <row r="158" spans="2:4" x14ac:dyDescent="0.25">
      <c r="B158" s="8" t="s">
        <v>17</v>
      </c>
      <c r="C158" s="9">
        <v>0.44327176781002636</v>
      </c>
      <c r="D158" s="9">
        <v>0.27415143603133157</v>
      </c>
    </row>
    <row r="159" spans="2:4" x14ac:dyDescent="0.25">
      <c r="B159" s="8" t="s">
        <v>18</v>
      </c>
      <c r="C159" s="9">
        <v>0.13720316622691292</v>
      </c>
      <c r="D159" s="9">
        <v>6.7885117493472591E-2</v>
      </c>
    </row>
    <row r="160" spans="2:4" x14ac:dyDescent="0.25">
      <c r="B160" s="8" t="s">
        <v>19</v>
      </c>
      <c r="C160" s="9">
        <v>0.17414248021108181</v>
      </c>
      <c r="D160" s="9">
        <v>4.6997389033942558E-2</v>
      </c>
    </row>
    <row r="161" spans="2:9" x14ac:dyDescent="0.25">
      <c r="B161" s="8" t="s">
        <v>23</v>
      </c>
      <c r="C161" s="9">
        <v>5.2770448548812667E-2</v>
      </c>
      <c r="D161" s="9">
        <v>0.17754569190600522</v>
      </c>
    </row>
    <row r="164" spans="2:9" ht="18.75" x14ac:dyDescent="0.3">
      <c r="B164" s="2" t="s">
        <v>77</v>
      </c>
      <c r="C164" s="3"/>
      <c r="D164" s="3"/>
      <c r="E164" s="3"/>
      <c r="F164" s="3"/>
      <c r="G164" s="3"/>
      <c r="H164" s="3"/>
      <c r="I164" s="3"/>
    </row>
    <row r="166" spans="2:9" x14ac:dyDescent="0.25">
      <c r="B166" s="4" t="s">
        <v>78</v>
      </c>
    </row>
    <row r="167" spans="2:9" x14ac:dyDescent="0.25">
      <c r="B167" s="4"/>
      <c r="C167" s="12" t="s">
        <v>3</v>
      </c>
      <c r="D167" s="12" t="s">
        <v>12</v>
      </c>
    </row>
    <row r="168" spans="2:9" x14ac:dyDescent="0.25">
      <c r="B168" s="8" t="s">
        <v>41</v>
      </c>
      <c r="C168" s="9">
        <v>0.39714285714285713</v>
      </c>
      <c r="D168" s="9">
        <v>0.15286624203821655</v>
      </c>
    </row>
    <row r="169" spans="2:9" x14ac:dyDescent="0.25">
      <c r="B169" s="8" t="s">
        <v>42</v>
      </c>
      <c r="C169" s="9">
        <v>0.60285714285714287</v>
      </c>
      <c r="D169" s="9">
        <v>0.84713375796178347</v>
      </c>
    </row>
    <row r="171" spans="2:9" x14ac:dyDescent="0.25">
      <c r="B171" s="4" t="s">
        <v>79</v>
      </c>
    </row>
    <row r="172" spans="2:9" x14ac:dyDescent="0.25">
      <c r="B172" s="4"/>
      <c r="C172" s="12" t="s">
        <v>3</v>
      </c>
      <c r="D172" s="12" t="s">
        <v>12</v>
      </c>
    </row>
    <row r="173" spans="2:9" x14ac:dyDescent="0.25">
      <c r="B173" s="8" t="s">
        <v>41</v>
      </c>
      <c r="C173" s="9">
        <v>0.31671554252199413</v>
      </c>
      <c r="D173" s="9">
        <v>0.20987654320987653</v>
      </c>
    </row>
    <row r="174" spans="2:9" x14ac:dyDescent="0.25">
      <c r="B174" s="8" t="s">
        <v>42</v>
      </c>
      <c r="C174" s="9">
        <v>0.68328445747800581</v>
      </c>
      <c r="D174" s="9">
        <v>0.79012345679012341</v>
      </c>
    </row>
    <row r="176" spans="2:9" x14ac:dyDescent="0.25">
      <c r="B176" s="4" t="s">
        <v>80</v>
      </c>
    </row>
    <row r="177" spans="2:4" x14ac:dyDescent="0.25">
      <c r="B177" s="4"/>
      <c r="C177" s="12" t="s">
        <v>3</v>
      </c>
      <c r="D177" s="12" t="s">
        <v>12</v>
      </c>
    </row>
    <row r="178" spans="2:4" x14ac:dyDescent="0.25">
      <c r="B178" s="8" t="s">
        <v>81</v>
      </c>
      <c r="C178" s="9">
        <v>0.17596566523605151</v>
      </c>
      <c r="D178" s="9">
        <v>0.3203125</v>
      </c>
    </row>
    <row r="179" spans="2:4" x14ac:dyDescent="0.25">
      <c r="B179" s="8" t="s">
        <v>82</v>
      </c>
      <c r="C179" s="9">
        <v>9.4420600858369105E-2</v>
      </c>
      <c r="D179" s="9">
        <v>0.23046875</v>
      </c>
    </row>
    <row r="180" spans="2:4" x14ac:dyDescent="0.25">
      <c r="B180" s="8" t="s">
        <v>83</v>
      </c>
      <c r="C180" s="9">
        <v>0.20600858369098712</v>
      </c>
      <c r="D180" s="9">
        <v>0.2890625</v>
      </c>
    </row>
    <row r="181" spans="2:4" x14ac:dyDescent="0.25">
      <c r="B181" s="8" t="s">
        <v>84</v>
      </c>
      <c r="C181" s="9">
        <v>0.28755364806866951</v>
      </c>
      <c r="D181" s="9">
        <v>0.3671875</v>
      </c>
    </row>
    <row r="182" spans="2:4" x14ac:dyDescent="0.25">
      <c r="B182" s="8" t="s">
        <v>85</v>
      </c>
      <c r="C182" s="9">
        <v>0.27896995708154504</v>
      </c>
      <c r="D182" s="9">
        <v>0.41796875</v>
      </c>
    </row>
    <row r="183" spans="2:4" x14ac:dyDescent="0.25">
      <c r="B183" s="8" t="s">
        <v>86</v>
      </c>
      <c r="C183" s="9">
        <v>0.13733905579399142</v>
      </c>
      <c r="D183" s="9">
        <v>0.12890625</v>
      </c>
    </row>
    <row r="184" spans="2:4" x14ac:dyDescent="0.25">
      <c r="B184" s="8" t="s">
        <v>87</v>
      </c>
      <c r="C184" s="9">
        <v>0.28755364806866951</v>
      </c>
      <c r="D184" s="9">
        <v>0.33203125</v>
      </c>
    </row>
    <row r="185" spans="2:4" x14ac:dyDescent="0.25">
      <c r="B185" s="8" t="s">
        <v>88</v>
      </c>
      <c r="C185" s="9">
        <v>9.4420600858369105E-2</v>
      </c>
      <c r="D185" s="9">
        <v>0.1171875</v>
      </c>
    </row>
    <row r="186" spans="2:4" x14ac:dyDescent="0.25">
      <c r="B186" s="8" t="s">
        <v>89</v>
      </c>
      <c r="C186" s="9">
        <v>6.8669527896995708E-2</v>
      </c>
      <c r="D186" s="9">
        <v>0.203125</v>
      </c>
    </row>
    <row r="187" spans="2:4" x14ac:dyDescent="0.25">
      <c r="B187" s="8" t="s">
        <v>90</v>
      </c>
      <c r="C187" s="9">
        <v>6.8669527896995708E-2</v>
      </c>
      <c r="D187" s="9">
        <v>3.515625E-2</v>
      </c>
    </row>
    <row r="188" spans="2:4" x14ac:dyDescent="0.25">
      <c r="B188" s="8" t="s">
        <v>91</v>
      </c>
      <c r="C188" s="9">
        <v>1.7167381974248927E-2</v>
      </c>
      <c r="D188" s="9">
        <v>2.34375E-2</v>
      </c>
    </row>
    <row r="190" spans="2:4" x14ac:dyDescent="0.25">
      <c r="B190" s="4" t="s">
        <v>92</v>
      </c>
    </row>
    <row r="191" spans="2:4" x14ac:dyDescent="0.25">
      <c r="B191" s="4"/>
      <c r="C191" s="12" t="s">
        <v>3</v>
      </c>
      <c r="D191" s="12" t="s">
        <v>12</v>
      </c>
    </row>
    <row r="192" spans="2:4" x14ac:dyDescent="0.25">
      <c r="B192" s="8" t="s">
        <v>93</v>
      </c>
      <c r="C192" s="9">
        <v>8.2608695652173908E-2</v>
      </c>
      <c r="D192" s="9">
        <v>1.984126984126984E-2</v>
      </c>
    </row>
    <row r="193" spans="2:9" x14ac:dyDescent="0.25">
      <c r="B193" s="8" t="s">
        <v>94</v>
      </c>
      <c r="C193" s="9">
        <v>0.9</v>
      </c>
      <c r="D193" s="9">
        <v>0.93253968253968256</v>
      </c>
    </row>
    <row r="194" spans="2:9" x14ac:dyDescent="0.25">
      <c r="B194" s="8" t="s">
        <v>95</v>
      </c>
      <c r="C194" s="9">
        <v>1.7391304347826087E-2</v>
      </c>
      <c r="D194" s="9">
        <v>4.7619047619047616E-2</v>
      </c>
    </row>
    <row r="196" spans="2:9" x14ac:dyDescent="0.25">
      <c r="B196" s="4" t="s">
        <v>96</v>
      </c>
    </row>
    <row r="197" spans="2:9" x14ac:dyDescent="0.25">
      <c r="B197" s="4"/>
      <c r="C197" s="12" t="s">
        <v>3</v>
      </c>
      <c r="D197" s="12" t="s">
        <v>12</v>
      </c>
    </row>
    <row r="198" spans="2:9" x14ac:dyDescent="0.25">
      <c r="B198" s="8" t="s">
        <v>41</v>
      </c>
      <c r="C198" s="9">
        <v>9.2682926829268292E-2</v>
      </c>
      <c r="D198" s="9">
        <v>3.4042553191489362E-2</v>
      </c>
    </row>
    <row r="199" spans="2:9" x14ac:dyDescent="0.25">
      <c r="B199" s="8" t="s">
        <v>42</v>
      </c>
      <c r="C199" s="9">
        <v>0.90731707317073174</v>
      </c>
      <c r="D199" s="9">
        <v>0.96595744680851059</v>
      </c>
    </row>
    <row r="201" spans="2:9" ht="18.75" x14ac:dyDescent="0.3">
      <c r="B201" s="2" t="s">
        <v>97</v>
      </c>
      <c r="C201" s="3"/>
      <c r="D201" s="3"/>
      <c r="E201" s="3"/>
      <c r="F201" s="3"/>
      <c r="G201" s="3"/>
      <c r="H201" s="3"/>
      <c r="I201" s="3"/>
    </row>
    <row r="203" spans="2:9" x14ac:dyDescent="0.25">
      <c r="B203" s="4" t="s">
        <v>98</v>
      </c>
    </row>
    <row r="204" spans="2:9" x14ac:dyDescent="0.25">
      <c r="B204" s="4"/>
      <c r="C204" s="12" t="s">
        <v>3</v>
      </c>
      <c r="D204" s="12" t="s">
        <v>12</v>
      </c>
    </row>
    <row r="205" spans="2:9" x14ac:dyDescent="0.25">
      <c r="B205" s="8" t="s">
        <v>76</v>
      </c>
      <c r="C205" s="9">
        <v>0.35620052770448551</v>
      </c>
      <c r="D205" s="9">
        <v>6.5274151436031339E-2</v>
      </c>
    </row>
    <row r="206" spans="2:9" x14ac:dyDescent="0.25">
      <c r="B206" s="8" t="s">
        <v>16</v>
      </c>
      <c r="C206" s="9">
        <v>1.3192612137203167E-2</v>
      </c>
      <c r="D206" s="9">
        <v>2.6109660574412531E-2</v>
      </c>
    </row>
    <row r="207" spans="2:9" x14ac:dyDescent="0.25">
      <c r="B207" s="8" t="s">
        <v>17</v>
      </c>
      <c r="C207" s="9">
        <v>0.11081794195250659</v>
      </c>
      <c r="D207" s="9">
        <v>0.18537859007832899</v>
      </c>
    </row>
    <row r="208" spans="2:9" x14ac:dyDescent="0.25">
      <c r="B208" s="8" t="s">
        <v>18</v>
      </c>
      <c r="C208" s="9">
        <v>1.0554089709762533E-2</v>
      </c>
      <c r="D208" s="9">
        <v>9.3994778067885115E-2</v>
      </c>
    </row>
    <row r="209" spans="2:4" x14ac:dyDescent="0.25">
      <c r="B209" s="8" t="s">
        <v>19</v>
      </c>
      <c r="C209" s="9">
        <v>0.42480211081794195</v>
      </c>
      <c r="D209" s="9">
        <v>0.4699738903394256</v>
      </c>
    </row>
    <row r="210" spans="2:4" x14ac:dyDescent="0.25">
      <c r="B210" s="8" t="s">
        <v>23</v>
      </c>
      <c r="C210" s="9">
        <v>8.4432717678100261E-2</v>
      </c>
      <c r="D210" s="9">
        <v>0.15926892950391644</v>
      </c>
    </row>
    <row r="212" spans="2:4" x14ac:dyDescent="0.25">
      <c r="B212" s="4" t="s">
        <v>99</v>
      </c>
    </row>
    <row r="213" spans="2:4" x14ac:dyDescent="0.25">
      <c r="B213" s="4"/>
      <c r="C213" s="12" t="s">
        <v>3</v>
      </c>
      <c r="D213" s="12" t="s">
        <v>12</v>
      </c>
    </row>
    <row r="214" spans="2:4" x14ac:dyDescent="0.25">
      <c r="B214" s="8" t="s">
        <v>100</v>
      </c>
      <c r="C214" s="9">
        <v>0.6732394366197183</v>
      </c>
      <c r="D214" s="9">
        <v>0.54374999999999996</v>
      </c>
    </row>
    <row r="215" spans="2:4" x14ac:dyDescent="0.25">
      <c r="B215" s="8" t="s">
        <v>101</v>
      </c>
      <c r="C215" s="9">
        <v>8.4507042253521118E-3</v>
      </c>
      <c r="D215" s="9">
        <v>0.15</v>
      </c>
    </row>
    <row r="216" spans="2:4" x14ac:dyDescent="0.25">
      <c r="B216" s="8" t="s">
        <v>102</v>
      </c>
      <c r="C216" s="9">
        <v>6.1971830985915494E-2</v>
      </c>
      <c r="D216" s="9">
        <v>0.13750000000000001</v>
      </c>
    </row>
    <row r="217" spans="2:4" x14ac:dyDescent="0.25">
      <c r="B217" s="8" t="s">
        <v>103</v>
      </c>
      <c r="C217" s="9">
        <v>2.8169014084507043E-2</v>
      </c>
      <c r="D217" s="9">
        <v>9.0624999999999997E-2</v>
      </c>
    </row>
    <row r="218" spans="2:4" x14ac:dyDescent="0.25">
      <c r="B218" s="8" t="s">
        <v>104</v>
      </c>
      <c r="C218" s="9">
        <v>3.0985915492957747E-2</v>
      </c>
      <c r="D218" s="9">
        <v>5.9374999999999997E-2</v>
      </c>
    </row>
    <row r="219" spans="2:4" x14ac:dyDescent="0.25">
      <c r="B219" s="8" t="s">
        <v>105</v>
      </c>
      <c r="C219" s="9">
        <v>0.19718309859154928</v>
      </c>
      <c r="D219" s="9">
        <v>1.8749999999999999E-2</v>
      </c>
    </row>
    <row r="220" spans="2:4" x14ac:dyDescent="0.25">
      <c r="D220" s="18"/>
    </row>
    <row r="221" spans="2:4" x14ac:dyDescent="0.25">
      <c r="B221" s="4" t="s">
        <v>106</v>
      </c>
    </row>
    <row r="222" spans="2:4" x14ac:dyDescent="0.25">
      <c r="B222" s="4"/>
      <c r="C222" s="12" t="s">
        <v>3</v>
      </c>
      <c r="D222" s="12" t="s">
        <v>12</v>
      </c>
    </row>
    <row r="223" spans="2:4" x14ac:dyDescent="0.25">
      <c r="B223" s="8" t="s">
        <v>100</v>
      </c>
      <c r="C223" s="9">
        <v>0.78551532033426186</v>
      </c>
      <c r="D223" s="9">
        <v>0.64174454828660432</v>
      </c>
    </row>
    <row r="224" spans="2:4" x14ac:dyDescent="0.25">
      <c r="B224" s="8" t="s">
        <v>101</v>
      </c>
      <c r="C224" s="9">
        <v>8.356545961002786E-3</v>
      </c>
      <c r="D224" s="9">
        <v>0.14953271028037382</v>
      </c>
    </row>
    <row r="225" spans="2:4" x14ac:dyDescent="0.25">
      <c r="B225" s="8" t="s">
        <v>102</v>
      </c>
      <c r="C225" s="9">
        <v>3.3426183844011144E-2</v>
      </c>
      <c r="D225" s="9">
        <v>0.14641744548286603</v>
      </c>
    </row>
    <row r="226" spans="2:4" x14ac:dyDescent="0.25">
      <c r="B226" s="8" t="s">
        <v>103</v>
      </c>
      <c r="C226" s="9">
        <v>5.0139275766016712E-2</v>
      </c>
      <c r="D226" s="9">
        <v>4.3613707165109032E-2</v>
      </c>
    </row>
    <row r="227" spans="2:4" x14ac:dyDescent="0.25">
      <c r="B227" s="8" t="s">
        <v>104</v>
      </c>
      <c r="C227" s="9">
        <v>5.5710306406685237E-3</v>
      </c>
      <c r="D227" s="9">
        <v>3.1152647975077881E-3</v>
      </c>
    </row>
    <row r="228" spans="2:4" x14ac:dyDescent="0.25">
      <c r="B228" s="8" t="s">
        <v>105</v>
      </c>
      <c r="C228" s="9">
        <v>0.11699164345403899</v>
      </c>
      <c r="D228" s="9">
        <v>1.5576323987538941E-2</v>
      </c>
    </row>
  </sheetData>
  <mergeCells count="13">
    <mergeCell ref="C57:H57"/>
    <mergeCell ref="C68:D68"/>
    <mergeCell ref="E68:F68"/>
    <mergeCell ref="C79:F79"/>
    <mergeCell ref="C85:F85"/>
    <mergeCell ref="C91:D91"/>
    <mergeCell ref="E91:F91"/>
    <mergeCell ref="C8:F8"/>
    <mergeCell ref="C15:F15"/>
    <mergeCell ref="C22:F22"/>
    <mergeCell ref="C29:D29"/>
    <mergeCell ref="E29:F29"/>
    <mergeCell ref="C46:H46"/>
  </mergeCells>
  <conditionalFormatting sqref="H70:I72 H74:I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KAP Women Endline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Muiruri</dc:creator>
  <cp:lastModifiedBy>Benard Muiruri</cp:lastModifiedBy>
  <dcterms:created xsi:type="dcterms:W3CDTF">2026-02-26T12:45:10Z</dcterms:created>
  <dcterms:modified xsi:type="dcterms:W3CDTF">2026-02-26T13:10:52Z</dcterms:modified>
</cp:coreProperties>
</file>