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4D12E091-480C-4727-8E00-B9625538D20F}" xr6:coauthVersionLast="47" xr6:coauthVersionMax="47" xr10:uidLastSave="{00000000-0000-0000-0000-000000000000}"/>
  <bookViews>
    <workbookView xWindow="-110" yWindow="-110" windowWidth="19420" windowHeight="10300" xr2:uid="{8B6AF2F9-4630-4149-93CD-7D5A0F579285}"/>
  </bookViews>
  <sheets>
    <sheet name="1112 Outputs &amp; Activ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6" i="1" l="1"/>
  <c r="G66" i="1" s="1"/>
  <c r="G65" i="1"/>
  <c r="F65" i="1"/>
  <c r="G64" i="1"/>
  <c r="F64" i="1"/>
  <c r="C64" i="1"/>
  <c r="G63" i="1"/>
  <c r="C63" i="1"/>
  <c r="F63" i="1" s="1"/>
  <c r="G62" i="1"/>
  <c r="F62" i="1"/>
  <c r="C62" i="1"/>
  <c r="G61" i="1"/>
  <c r="C61" i="1"/>
  <c r="F61" i="1" s="1"/>
  <c r="E56" i="1"/>
  <c r="G56" i="1" s="1"/>
  <c r="C56" i="1"/>
  <c r="G55" i="1"/>
  <c r="F55" i="1"/>
  <c r="G54" i="1"/>
  <c r="F54" i="1"/>
  <c r="C54" i="1"/>
  <c r="G53" i="1"/>
  <c r="C53" i="1"/>
  <c r="F53" i="1" s="1"/>
  <c r="G52" i="1"/>
  <c r="F52" i="1"/>
  <c r="C52" i="1"/>
  <c r="G51" i="1"/>
  <c r="C51" i="1"/>
  <c r="F51" i="1" s="1"/>
  <c r="E46" i="1"/>
  <c r="G45" i="1"/>
  <c r="F45" i="1"/>
  <c r="K34" i="1"/>
  <c r="H34" i="1"/>
  <c r="M34" i="1" s="1"/>
  <c r="E34" i="1"/>
  <c r="J30" i="1"/>
  <c r="I30" i="1"/>
  <c r="K30" i="1" s="1"/>
  <c r="M30" i="1" s="1"/>
  <c r="H30" i="1"/>
  <c r="L30" i="1" s="1"/>
  <c r="E30" i="1"/>
  <c r="L26" i="1"/>
  <c r="K26" i="1"/>
  <c r="M26" i="1" s="1"/>
  <c r="H26" i="1"/>
  <c r="E26" i="1"/>
  <c r="M20" i="1"/>
  <c r="L20" i="1"/>
  <c r="K17" i="1"/>
  <c r="C43" i="1" s="1"/>
  <c r="F43" i="1" s="1"/>
  <c r="H17" i="1"/>
  <c r="D43" i="1" s="1"/>
  <c r="G43" i="1" s="1"/>
  <c r="E17" i="1"/>
  <c r="M13" i="1"/>
  <c r="L13" i="1"/>
  <c r="L17" i="1" l="1"/>
  <c r="M17" i="1"/>
  <c r="C42" i="1"/>
  <c r="F42" i="1" s="1"/>
  <c r="C44" i="1"/>
  <c r="F44" i="1" s="1"/>
  <c r="D44" i="1"/>
  <c r="G44" i="1" s="1"/>
  <c r="L34" i="1"/>
  <c r="D42" i="1"/>
  <c r="G42" i="1" s="1"/>
  <c r="F56" i="1"/>
  <c r="C66" i="1"/>
  <c r="F66" i="1" s="1"/>
  <c r="C41" i="1"/>
  <c r="D41" i="1"/>
  <c r="G41" i="1" l="1"/>
  <c r="D46" i="1"/>
  <c r="G46" i="1" s="1"/>
  <c r="C46" i="1"/>
  <c r="F46" i="1" s="1"/>
  <c r="F41" i="1"/>
</calcChain>
</file>

<file path=xl/sharedStrings.xml><?xml version="1.0" encoding="utf-8"?>
<sst xmlns="http://schemas.openxmlformats.org/spreadsheetml/2006/main" count="129" uniqueCount="44">
  <si>
    <t>COSME Project - Mangrove</t>
  </si>
  <si>
    <t>Output &amp; Activity Data</t>
  </si>
  <si>
    <t>Reporting Period: SAR Y3</t>
  </si>
  <si>
    <t>Last Update: November 2025</t>
  </si>
  <si>
    <r>
      <t>Output 1112: </t>
    </r>
    <r>
      <rPr>
        <b/>
        <sz val="11"/>
        <rFont val="Arial"/>
        <family val="2"/>
      </rPr>
      <t>Members of mangrove groups</t>
    </r>
    <r>
      <rPr>
        <b/>
        <strike/>
        <sz val="11"/>
        <color rgb="FFFF0000"/>
        <rFont val="Arial"/>
        <family val="2"/>
      </rPr>
      <t> </t>
    </r>
    <r>
      <rPr>
        <b/>
        <sz val="11"/>
        <rFont val="Arial"/>
        <family val="2"/>
      </rPr>
      <t>trained and coached in mangrove restoration and conservation</t>
    </r>
    <r>
      <rPr>
        <sz val="11"/>
        <rFont val="Arial"/>
        <family val="2"/>
      </rPr>
      <t> </t>
    </r>
  </si>
  <si>
    <t>REGISTRATION</t>
  </si>
  <si>
    <t>Y2</t>
  </si>
  <si>
    <t>Y3 (SA)</t>
  </si>
  <si>
    <t>Overall Target</t>
  </si>
  <si>
    <t>Y3 (SA) - Y2</t>
  </si>
  <si>
    <t>% Achieved</t>
  </si>
  <si>
    <t>Notes</t>
  </si>
  <si>
    <t>Number of Groups</t>
  </si>
  <si>
    <t>4 groups dropped ou before training, 3 new groups were registered</t>
  </si>
  <si>
    <t>Female</t>
  </si>
  <si>
    <t>Male</t>
  </si>
  <si>
    <t>All</t>
  </si>
  <si>
    <t>Members Registered</t>
  </si>
  <si>
    <t>Number of Modules Imparted</t>
  </si>
  <si>
    <t>TRAINING (STRICT THRESHOLD)</t>
  </si>
  <si>
    <t>Members Trained (3 and above)</t>
  </si>
  <si>
    <r>
      <t xml:space="preserve">Overall </t>
    </r>
    <r>
      <rPr>
        <b/>
        <u/>
        <sz val="11"/>
        <color theme="1"/>
        <rFont val="Calibri"/>
        <family val="2"/>
        <scheme val="minor"/>
      </rPr>
      <t>Registered</t>
    </r>
  </si>
  <si>
    <t>Members Trained (3 modules and above)</t>
  </si>
  <si>
    <t>Kilifi</t>
  </si>
  <si>
    <t>Kwale</t>
  </si>
  <si>
    <t>TRAINING (SOFT THRESHOLD)</t>
  </si>
  <si>
    <t>Add soft Threshold analysis</t>
  </si>
  <si>
    <t>Participants completing Mangrove Training by module (All)</t>
  </si>
  <si>
    <t>Modules</t>
  </si>
  <si>
    <t>Target</t>
  </si>
  <si>
    <t>Registered</t>
  </si>
  <si>
    <t>Completed</t>
  </si>
  <si>
    <t>Target(%)</t>
  </si>
  <si>
    <t>Reg(%)</t>
  </si>
  <si>
    <t>Module 1</t>
  </si>
  <si>
    <t>Module 2</t>
  </si>
  <si>
    <t>Module 3</t>
  </si>
  <si>
    <t>Module 4</t>
  </si>
  <si>
    <t>Module 5</t>
  </si>
  <si>
    <t>Grand Total</t>
  </si>
  <si>
    <t>Participants completeing Mangrove Training by module (Male)</t>
  </si>
  <si>
    <t>Participants completeing Mangrove Training by module (Female)</t>
  </si>
  <si>
    <t>Reporting Period: AR Y3</t>
  </si>
  <si>
    <t xml:space="preserve">Last Update: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</si>
</sst>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trike/>
      <sz val="11"/>
      <color rgb="FFFF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A32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/>
    <xf numFmtId="9" fontId="0" fillId="0" borderId="0" xfId="1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9" fontId="0" fillId="4" borderId="4" xfId="1" applyFont="1" applyFill="1" applyBorder="1" applyAlignment="1">
      <alignment horizontal="center"/>
    </xf>
    <xf numFmtId="2" fontId="0" fillId="0" borderId="0" xfId="0" applyNumberFormat="1"/>
    <xf numFmtId="0" fontId="0" fillId="5" borderId="0" xfId="0" applyFill="1"/>
    <xf numFmtId="0" fontId="13" fillId="0" borderId="0" xfId="0" applyFont="1"/>
    <xf numFmtId="0" fontId="2" fillId="6" borderId="4" xfId="2" applyFont="1" applyFill="1" applyBorder="1" applyAlignment="1">
      <alignment horizontal="left"/>
    </xf>
    <xf numFmtId="0" fontId="2" fillId="6" borderId="4" xfId="3" applyFont="1" applyFill="1" applyBorder="1" applyAlignment="1">
      <alignment horizontal="center"/>
    </xf>
    <xf numFmtId="0" fontId="2" fillId="6" borderId="4" xfId="3" applyFont="1" applyFill="1" applyBorder="1" applyAlignment="1">
      <alignment horizontal="center"/>
    </xf>
    <xf numFmtId="0" fontId="1" fillId="0" borderId="4" xfId="2" applyBorder="1" applyAlignment="1">
      <alignment horizontal="left"/>
    </xf>
    <xf numFmtId="0" fontId="1" fillId="0" borderId="4" xfId="2" applyBorder="1" applyAlignment="1">
      <alignment horizontal="center"/>
    </xf>
    <xf numFmtId="9" fontId="1" fillId="0" borderId="4" xfId="2" applyNumberFormat="1" applyBorder="1" applyAlignment="1">
      <alignment horizontal="center"/>
    </xf>
    <xf numFmtId="0" fontId="2" fillId="0" borderId="4" xfId="2" applyFont="1" applyBorder="1" applyAlignment="1">
      <alignment horizontal="left"/>
    </xf>
    <xf numFmtId="0" fontId="2" fillId="0" borderId="4" xfId="2" applyFont="1" applyBorder="1" applyAlignment="1">
      <alignment horizontal="center"/>
    </xf>
    <xf numFmtId="1" fontId="2" fillId="4" borderId="4" xfId="2" applyNumberFormat="1" applyFont="1" applyFill="1" applyBorder="1" applyAlignment="1">
      <alignment horizontal="center"/>
    </xf>
    <xf numFmtId="9" fontId="2" fillId="4" borderId="4" xfId="2" applyNumberFormat="1" applyFont="1" applyFill="1" applyBorder="1" applyAlignment="1">
      <alignment horizontal="center"/>
    </xf>
    <xf numFmtId="9" fontId="2" fillId="0" borderId="4" xfId="2" applyNumberFormat="1" applyFont="1" applyBorder="1" applyAlignment="1">
      <alignment horizontal="center"/>
    </xf>
  </cellXfs>
  <cellStyles count="4">
    <cellStyle name="Normal" xfId="0" builtinId="0"/>
    <cellStyle name="Normal 4" xfId="2" xr:uid="{C4B7BFB1-AAA8-4C08-9BE7-9C413399DA15}"/>
    <cellStyle name="Normal 4 2" xfId="3" xr:uid="{5EC4795A-A3DD-4BD9-A129-C5C84AD540E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7BA7-9013-4DE0-B033-81922746194C}">
  <sheetPr>
    <tabColor rgb="FF00B050"/>
  </sheetPr>
  <dimension ref="B2:P93"/>
  <sheetViews>
    <sheetView tabSelected="1" topLeftCell="A7" zoomScale="115" zoomScaleNormal="115" workbookViewId="0">
      <selection activeCell="F37" sqref="F37"/>
    </sheetView>
  </sheetViews>
  <sheetFormatPr defaultRowHeight="15" x14ac:dyDescent="0.25"/>
  <cols>
    <col min="1" max="1" width="3.140625" customWidth="1"/>
    <col min="2" max="2" width="29.85546875" customWidth="1"/>
    <col min="3" max="11" width="9.7109375" customWidth="1"/>
    <col min="12" max="13" width="11.42578125" customWidth="1"/>
    <col min="14" max="14" width="2.7109375" customWidth="1"/>
    <col min="15" max="15" width="66.5703125" customWidth="1"/>
  </cols>
  <sheetData>
    <row r="2" spans="2:15" ht="21" x14ac:dyDescent="0.35">
      <c r="B2" s="1" t="s">
        <v>0</v>
      </c>
    </row>
    <row r="3" spans="2:15" ht="21" x14ac:dyDescent="0.35">
      <c r="B3" s="1" t="s">
        <v>1</v>
      </c>
    </row>
    <row r="4" spans="2:15" ht="9" customHeight="1" x14ac:dyDescent="0.35">
      <c r="B4" s="1"/>
    </row>
    <row r="5" spans="2:15" x14ac:dyDescent="0.25">
      <c r="B5" s="2" t="s">
        <v>2</v>
      </c>
    </row>
    <row r="6" spans="2:15" s="3" customFormat="1" ht="12" x14ac:dyDescent="0.2">
      <c r="B6" s="2" t="s">
        <v>3</v>
      </c>
    </row>
    <row r="8" spans="2:15" x14ac:dyDescent="0.25">
      <c r="B8" s="4" t="s">
        <v>4</v>
      </c>
    </row>
    <row r="9" spans="2:15" x14ac:dyDescent="0.25">
      <c r="B9" s="5"/>
    </row>
    <row r="10" spans="2:15" x14ac:dyDescent="0.25">
      <c r="B10" s="6" t="s">
        <v>5</v>
      </c>
    </row>
    <row r="11" spans="2:15" x14ac:dyDescent="0.25">
      <c r="B11" s="6"/>
    </row>
    <row r="12" spans="2:15" x14ac:dyDescent="0.25">
      <c r="C12" s="7" t="s">
        <v>6</v>
      </c>
      <c r="D12" s="8"/>
      <c r="E12" s="9"/>
      <c r="F12" s="10" t="s">
        <v>7</v>
      </c>
      <c r="G12" s="10"/>
      <c r="H12" s="10"/>
      <c r="I12" s="11" t="s">
        <v>8</v>
      </c>
      <c r="J12" s="11"/>
      <c r="K12" s="11"/>
      <c r="L12" s="12" t="s">
        <v>9</v>
      </c>
      <c r="M12" s="12" t="s">
        <v>10</v>
      </c>
      <c r="O12" s="12" t="s">
        <v>11</v>
      </c>
    </row>
    <row r="13" spans="2:15" x14ac:dyDescent="0.25">
      <c r="B13" s="13" t="s">
        <v>12</v>
      </c>
      <c r="C13" s="14">
        <v>39</v>
      </c>
      <c r="D13" s="14"/>
      <c r="E13" s="14"/>
      <c r="F13" s="14">
        <v>42</v>
      </c>
      <c r="G13" s="14"/>
      <c r="H13" s="14"/>
      <c r="I13" s="14">
        <v>40</v>
      </c>
      <c r="J13" s="14"/>
      <c r="K13" s="14"/>
      <c r="L13" s="15">
        <f>F13-C13</f>
        <v>3</v>
      </c>
      <c r="M13" s="16">
        <f>F13/I13</f>
        <v>1.05</v>
      </c>
      <c r="O13" s="17" t="s">
        <v>13</v>
      </c>
    </row>
    <row r="14" spans="2:15" x14ac:dyDescent="0.25"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O14" s="17"/>
    </row>
    <row r="15" spans="2:15" x14ac:dyDescent="0.25">
      <c r="C15" s="7" t="s">
        <v>6</v>
      </c>
      <c r="D15" s="8"/>
      <c r="E15" s="9"/>
      <c r="F15" s="10" t="s">
        <v>7</v>
      </c>
      <c r="G15" s="10"/>
      <c r="H15" s="10"/>
      <c r="I15" s="11" t="s">
        <v>8</v>
      </c>
      <c r="J15" s="11"/>
      <c r="K15" s="11"/>
      <c r="L15" s="19" t="s">
        <v>9</v>
      </c>
      <c r="M15" s="19" t="s">
        <v>10</v>
      </c>
      <c r="O15" s="17"/>
    </row>
    <row r="16" spans="2:15" x14ac:dyDescent="0.25">
      <c r="C16" s="12" t="s">
        <v>14</v>
      </c>
      <c r="D16" s="12" t="s">
        <v>15</v>
      </c>
      <c r="E16" s="12" t="s">
        <v>16</v>
      </c>
      <c r="F16" s="20" t="s">
        <v>14</v>
      </c>
      <c r="G16" s="20" t="s">
        <v>15</v>
      </c>
      <c r="H16" s="20" t="s">
        <v>16</v>
      </c>
      <c r="I16" s="12" t="s">
        <v>14</v>
      </c>
      <c r="J16" s="12" t="s">
        <v>15</v>
      </c>
      <c r="K16" s="12" t="s">
        <v>16</v>
      </c>
      <c r="L16" s="21"/>
      <c r="M16" s="21"/>
      <c r="O16" s="17"/>
    </row>
    <row r="17" spans="2:15" x14ac:dyDescent="0.25">
      <c r="B17" s="13" t="s">
        <v>17</v>
      </c>
      <c r="C17" s="15">
        <v>854</v>
      </c>
      <c r="D17" s="15">
        <v>297</v>
      </c>
      <c r="E17" s="15">
        <f>SUM(C17:D17)</f>
        <v>1151</v>
      </c>
      <c r="F17" s="15">
        <v>973</v>
      </c>
      <c r="G17" s="15">
        <v>371</v>
      </c>
      <c r="H17" s="15">
        <f>SUM(F17:G17)</f>
        <v>1344</v>
      </c>
      <c r="I17" s="15">
        <v>840</v>
      </c>
      <c r="J17" s="15">
        <v>360</v>
      </c>
      <c r="K17" s="15">
        <f>SUM(I17:J17)</f>
        <v>1200</v>
      </c>
      <c r="L17" s="15">
        <f>H17-E17</f>
        <v>193</v>
      </c>
      <c r="M17" s="16">
        <f>H17/K17</f>
        <v>1.1200000000000001</v>
      </c>
      <c r="O17" s="17"/>
    </row>
    <row r="18" spans="2:15" x14ac:dyDescent="0.25">
      <c r="B18" s="2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3"/>
      <c r="O18" s="17"/>
    </row>
    <row r="19" spans="2:15" x14ac:dyDescent="0.25">
      <c r="C19" s="7" t="s">
        <v>6</v>
      </c>
      <c r="D19" s="8"/>
      <c r="E19" s="9"/>
      <c r="F19" s="10" t="s">
        <v>7</v>
      </c>
      <c r="G19" s="10"/>
      <c r="H19" s="10"/>
      <c r="I19" s="11" t="s">
        <v>8</v>
      </c>
      <c r="J19" s="11"/>
      <c r="K19" s="11"/>
      <c r="L19" s="12" t="s">
        <v>9</v>
      </c>
      <c r="M19" s="12" t="s">
        <v>10</v>
      </c>
      <c r="O19" s="17"/>
    </row>
    <row r="20" spans="2:15" x14ac:dyDescent="0.25">
      <c r="B20" s="13" t="s">
        <v>18</v>
      </c>
      <c r="C20" s="14">
        <v>2</v>
      </c>
      <c r="D20" s="14"/>
      <c r="E20" s="14"/>
      <c r="F20" s="14">
        <v>4</v>
      </c>
      <c r="G20" s="14"/>
      <c r="H20" s="14"/>
      <c r="I20" s="14">
        <v>5</v>
      </c>
      <c r="J20" s="14"/>
      <c r="K20" s="14"/>
      <c r="L20" s="15">
        <f>F20-C20</f>
        <v>2</v>
      </c>
      <c r="M20" s="16">
        <f>F20/I20</f>
        <v>0.8</v>
      </c>
      <c r="O20" s="17"/>
    </row>
    <row r="21" spans="2:15" x14ac:dyDescent="0.25">
      <c r="B21" s="2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23"/>
    </row>
    <row r="22" spans="2:15" hidden="1" x14ac:dyDescent="0.25">
      <c r="B22" s="6" t="s">
        <v>19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2:15" hidden="1" x14ac:dyDescent="0.25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2:15" hidden="1" x14ac:dyDescent="0.25">
      <c r="C24" s="7" t="s">
        <v>6</v>
      </c>
      <c r="D24" s="8"/>
      <c r="E24" s="9"/>
      <c r="F24" s="10" t="s">
        <v>7</v>
      </c>
      <c r="G24" s="10"/>
      <c r="H24" s="10"/>
      <c r="I24" s="11" t="s">
        <v>8</v>
      </c>
      <c r="J24" s="11"/>
      <c r="K24" s="11"/>
      <c r="L24" s="19" t="s">
        <v>9</v>
      </c>
      <c r="M24" s="19" t="s">
        <v>10</v>
      </c>
    </row>
    <row r="25" spans="2:15" hidden="1" x14ac:dyDescent="0.25">
      <c r="C25" s="12" t="s">
        <v>14</v>
      </c>
      <c r="D25" s="12" t="s">
        <v>15</v>
      </c>
      <c r="E25" s="12" t="s">
        <v>16</v>
      </c>
      <c r="F25" s="20" t="s">
        <v>14</v>
      </c>
      <c r="G25" s="20" t="s">
        <v>15</v>
      </c>
      <c r="H25" s="20" t="s">
        <v>16</v>
      </c>
      <c r="I25" s="12" t="s">
        <v>14</v>
      </c>
      <c r="J25" s="12" t="s">
        <v>15</v>
      </c>
      <c r="K25" s="12" t="s">
        <v>16</v>
      </c>
      <c r="L25" s="21"/>
      <c r="M25" s="21"/>
    </row>
    <row r="26" spans="2:15" hidden="1" x14ac:dyDescent="0.25">
      <c r="B26" s="13" t="s">
        <v>20</v>
      </c>
      <c r="C26" s="15">
        <v>0</v>
      </c>
      <c r="D26" s="15">
        <v>0</v>
      </c>
      <c r="E26" s="15">
        <f>SUM(C26:D26)</f>
        <v>0</v>
      </c>
      <c r="F26" s="15">
        <v>640</v>
      </c>
      <c r="G26" s="15">
        <v>27</v>
      </c>
      <c r="H26" s="24">
        <f>SUM(F26:G26)</f>
        <v>667</v>
      </c>
      <c r="I26" s="15">
        <v>840</v>
      </c>
      <c r="J26" s="15">
        <v>360</v>
      </c>
      <c r="K26" s="15">
        <f>SUM(I26:J26)</f>
        <v>1200</v>
      </c>
      <c r="L26" s="15">
        <f>H26-E26</f>
        <v>667</v>
      </c>
      <c r="M26" s="25">
        <f>H26/K26</f>
        <v>0.55583333333333329</v>
      </c>
    </row>
    <row r="27" spans="2:15" hidden="1" x14ac:dyDescent="0.25"/>
    <row r="28" spans="2:15" hidden="1" x14ac:dyDescent="0.25">
      <c r="B28" s="26"/>
      <c r="C28" s="7" t="s">
        <v>6</v>
      </c>
      <c r="D28" s="8"/>
      <c r="E28" s="9"/>
      <c r="F28" s="11" t="s">
        <v>7</v>
      </c>
      <c r="G28" s="11"/>
      <c r="H28" s="11"/>
      <c r="I28" s="11" t="s">
        <v>21</v>
      </c>
      <c r="J28" s="11"/>
      <c r="K28" s="11"/>
      <c r="L28" s="19" t="s">
        <v>9</v>
      </c>
      <c r="M28" s="19" t="s">
        <v>10</v>
      </c>
    </row>
    <row r="29" spans="2:15" hidden="1" x14ac:dyDescent="0.25">
      <c r="C29" s="12" t="s">
        <v>14</v>
      </c>
      <c r="D29" s="12" t="s">
        <v>15</v>
      </c>
      <c r="E29" s="12" t="s">
        <v>16</v>
      </c>
      <c r="F29" s="12" t="s">
        <v>14</v>
      </c>
      <c r="G29" s="12" t="s">
        <v>15</v>
      </c>
      <c r="H29" s="12" t="s">
        <v>16</v>
      </c>
      <c r="I29" s="12" t="s">
        <v>14</v>
      </c>
      <c r="J29" s="12" t="s">
        <v>15</v>
      </c>
      <c r="K29" s="12" t="s">
        <v>16</v>
      </c>
      <c r="L29" s="21"/>
      <c r="M29" s="21"/>
    </row>
    <row r="30" spans="2:15" hidden="1" x14ac:dyDescent="0.25">
      <c r="B30" s="13" t="s">
        <v>22</v>
      </c>
      <c r="C30" s="15">
        <v>0</v>
      </c>
      <c r="D30" s="15">
        <v>0</v>
      </c>
      <c r="E30" s="15">
        <f>SUM(C30:D30)</f>
        <v>0</v>
      </c>
      <c r="F30" s="15">
        <v>640</v>
      </c>
      <c r="G30" s="15">
        <v>27</v>
      </c>
      <c r="H30" s="15">
        <f>SUM(F30:G30)</f>
        <v>667</v>
      </c>
      <c r="I30" s="15">
        <f>F17</f>
        <v>973</v>
      </c>
      <c r="J30" s="15">
        <f>G17</f>
        <v>371</v>
      </c>
      <c r="K30" s="15">
        <f>SUM(I30:J30)</f>
        <v>1344</v>
      </c>
      <c r="L30" s="15">
        <f>H30-E30</f>
        <v>667</v>
      </c>
      <c r="M30" s="16">
        <f>H26/K30</f>
        <v>0.49627976190476192</v>
      </c>
    </row>
    <row r="31" spans="2:15" hidden="1" x14ac:dyDescent="0.25">
      <c r="B31" s="22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3"/>
    </row>
    <row r="32" spans="2:15" hidden="1" x14ac:dyDescent="0.25">
      <c r="B32" s="22"/>
      <c r="C32" s="7" t="s">
        <v>6</v>
      </c>
      <c r="D32" s="8"/>
      <c r="E32" s="9"/>
      <c r="F32" s="10" t="s">
        <v>7</v>
      </c>
      <c r="G32" s="10"/>
      <c r="H32" s="10"/>
      <c r="I32" s="11" t="s">
        <v>8</v>
      </c>
      <c r="J32" s="11"/>
      <c r="K32" s="11"/>
      <c r="L32" s="19" t="s">
        <v>9</v>
      </c>
      <c r="M32" s="19" t="s">
        <v>10</v>
      </c>
    </row>
    <row r="33" spans="2:16" hidden="1" x14ac:dyDescent="0.25">
      <c r="B33" s="22"/>
      <c r="C33" s="12" t="s">
        <v>23</v>
      </c>
      <c r="D33" s="12" t="s">
        <v>24</v>
      </c>
      <c r="E33" s="12" t="s">
        <v>16</v>
      </c>
      <c r="F33" s="20" t="s">
        <v>23</v>
      </c>
      <c r="G33" s="20" t="s">
        <v>24</v>
      </c>
      <c r="H33" s="20" t="s">
        <v>16</v>
      </c>
      <c r="I33" s="12" t="s">
        <v>23</v>
      </c>
      <c r="J33" s="12" t="s">
        <v>24</v>
      </c>
      <c r="K33" s="12" t="s">
        <v>16</v>
      </c>
      <c r="L33" s="21"/>
      <c r="M33" s="21"/>
    </row>
    <row r="34" spans="2:16" hidden="1" x14ac:dyDescent="0.25">
      <c r="B34" s="13" t="s">
        <v>20</v>
      </c>
      <c r="C34" s="15">
        <v>0</v>
      </c>
      <c r="D34" s="15">
        <v>0</v>
      </c>
      <c r="E34" s="15">
        <f>SUM(C34:D34)</f>
        <v>0</v>
      </c>
      <c r="F34" s="15">
        <v>313</v>
      </c>
      <c r="G34" s="15">
        <v>354</v>
      </c>
      <c r="H34" s="15">
        <f>SUM(F34:G34)</f>
        <v>667</v>
      </c>
      <c r="I34" s="15">
        <v>725</v>
      </c>
      <c r="J34" s="15">
        <v>476</v>
      </c>
      <c r="K34" s="15">
        <f>SUM(I34:J34)</f>
        <v>1201</v>
      </c>
      <c r="L34" s="15">
        <f>H34-E34</f>
        <v>667</v>
      </c>
      <c r="M34" s="16">
        <f>H34/K34</f>
        <v>0.55537052456286429</v>
      </c>
    </row>
    <row r="35" spans="2:16" hidden="1" x14ac:dyDescent="0.25">
      <c r="B35" s="22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23"/>
    </row>
    <row r="36" spans="2:16" x14ac:dyDescent="0.25">
      <c r="B36" s="6" t="s">
        <v>25</v>
      </c>
      <c r="P36" s="27" t="s">
        <v>26</v>
      </c>
    </row>
    <row r="37" spans="2:16" x14ac:dyDescent="0.25">
      <c r="B37" s="6"/>
    </row>
    <row r="38" spans="2:16" x14ac:dyDescent="0.25">
      <c r="B38" s="28" t="s">
        <v>27</v>
      </c>
    </row>
    <row r="39" spans="2:16" x14ac:dyDescent="0.25">
      <c r="B39" s="29" t="s">
        <v>28</v>
      </c>
      <c r="C39" s="30" t="s">
        <v>16</v>
      </c>
      <c r="D39" s="30"/>
      <c r="E39" s="30"/>
      <c r="F39" s="30"/>
      <c r="G39" s="30"/>
    </row>
    <row r="40" spans="2:16" x14ac:dyDescent="0.25">
      <c r="B40" s="29"/>
      <c r="C40" s="31" t="s">
        <v>29</v>
      </c>
      <c r="D40" s="31" t="s">
        <v>30</v>
      </c>
      <c r="E40" s="31" t="s">
        <v>31</v>
      </c>
      <c r="F40" s="31" t="s">
        <v>32</v>
      </c>
      <c r="G40" s="31" t="s">
        <v>33</v>
      </c>
    </row>
    <row r="41" spans="2:16" x14ac:dyDescent="0.25">
      <c r="B41" s="32" t="s">
        <v>34</v>
      </c>
      <c r="C41" s="33">
        <f>$K$17</f>
        <v>1200</v>
      </c>
      <c r="D41" s="33">
        <f>$H$17</f>
        <v>1344</v>
      </c>
      <c r="E41" s="33">
        <v>899</v>
      </c>
      <c r="F41" s="34">
        <f t="shared" ref="F41:F46" si="0">E41/C41</f>
        <v>0.74916666666666665</v>
      </c>
      <c r="G41" s="34">
        <f>E41/D41</f>
        <v>0.66889880952380953</v>
      </c>
    </row>
    <row r="42" spans="2:16" x14ac:dyDescent="0.25">
      <c r="B42" s="32" t="s">
        <v>35</v>
      </c>
      <c r="C42" s="33">
        <f t="shared" ref="C42:C44" si="1">$K$17</f>
        <v>1200</v>
      </c>
      <c r="D42" s="33">
        <f t="shared" ref="D42:D44" si="2">$H$17</f>
        <v>1344</v>
      </c>
      <c r="E42" s="33">
        <v>791</v>
      </c>
      <c r="F42" s="34">
        <f t="shared" si="0"/>
        <v>0.65916666666666668</v>
      </c>
      <c r="G42" s="34">
        <f t="shared" ref="G42:G46" si="3">E42/D42</f>
        <v>0.58854166666666663</v>
      </c>
    </row>
    <row r="43" spans="2:16" x14ac:dyDescent="0.25">
      <c r="B43" s="32" t="s">
        <v>36</v>
      </c>
      <c r="C43" s="33">
        <f t="shared" si="1"/>
        <v>1200</v>
      </c>
      <c r="D43" s="33">
        <f t="shared" si="2"/>
        <v>1344</v>
      </c>
      <c r="E43" s="33">
        <v>798</v>
      </c>
      <c r="F43" s="34">
        <f t="shared" si="0"/>
        <v>0.66500000000000004</v>
      </c>
      <c r="G43" s="34">
        <f t="shared" si="3"/>
        <v>0.59375</v>
      </c>
    </row>
    <row r="44" spans="2:16" x14ac:dyDescent="0.25">
      <c r="B44" s="32" t="s">
        <v>37</v>
      </c>
      <c r="C44" s="33">
        <f t="shared" si="1"/>
        <v>1200</v>
      </c>
      <c r="D44" s="33">
        <f t="shared" si="2"/>
        <v>1344</v>
      </c>
      <c r="E44" s="33">
        <v>881</v>
      </c>
      <c r="F44" s="34">
        <f t="shared" si="0"/>
        <v>0.73416666666666663</v>
      </c>
      <c r="G44" s="34">
        <f t="shared" si="3"/>
        <v>0.65550595238095233</v>
      </c>
    </row>
    <row r="45" spans="2:16" x14ac:dyDescent="0.25">
      <c r="B45" s="32" t="s">
        <v>38</v>
      </c>
      <c r="C45" s="33">
        <v>1200</v>
      </c>
      <c r="D45" s="33">
        <v>1344</v>
      </c>
      <c r="E45" s="33">
        <v>816</v>
      </c>
      <c r="F45" s="34">
        <f t="shared" si="0"/>
        <v>0.68</v>
      </c>
      <c r="G45" s="34">
        <f t="shared" si="3"/>
        <v>0.6071428571428571</v>
      </c>
    </row>
    <row r="46" spans="2:16" x14ac:dyDescent="0.25">
      <c r="B46" s="35" t="s">
        <v>39</v>
      </c>
      <c r="C46" s="36">
        <f>AVERAGE(C41:C43)</f>
        <v>1200</v>
      </c>
      <c r="D46" s="36">
        <f>AVERAGE(D41:D43)</f>
        <v>1344</v>
      </c>
      <c r="E46" s="37">
        <f>AVERAGE(E41:E43,E44)</f>
        <v>842.25</v>
      </c>
      <c r="F46" s="38">
        <f t="shared" si="0"/>
        <v>0.70187500000000003</v>
      </c>
      <c r="G46" s="39">
        <f t="shared" si="3"/>
        <v>0.6266741071428571</v>
      </c>
    </row>
    <row r="48" spans="2:16" x14ac:dyDescent="0.25">
      <c r="B48" s="28" t="s">
        <v>40</v>
      </c>
    </row>
    <row r="49" spans="2:7" x14ac:dyDescent="0.25">
      <c r="B49" s="29" t="s">
        <v>28</v>
      </c>
      <c r="C49" s="30" t="s">
        <v>16</v>
      </c>
      <c r="D49" s="30"/>
      <c r="E49" s="30"/>
      <c r="F49" s="30"/>
      <c r="G49" s="30"/>
    </row>
    <row r="50" spans="2:7" x14ac:dyDescent="0.25">
      <c r="B50" s="29"/>
      <c r="C50" s="31" t="s">
        <v>29</v>
      </c>
      <c r="D50" s="31" t="s">
        <v>30</v>
      </c>
      <c r="E50" s="31" t="s">
        <v>31</v>
      </c>
      <c r="F50" s="31" t="s">
        <v>32</v>
      </c>
      <c r="G50" s="31" t="s">
        <v>33</v>
      </c>
    </row>
    <row r="51" spans="2:7" x14ac:dyDescent="0.25">
      <c r="B51" s="32" t="s">
        <v>34</v>
      </c>
      <c r="C51" s="33">
        <f>$J$17</f>
        <v>360</v>
      </c>
      <c r="D51" s="33">
        <v>371</v>
      </c>
      <c r="E51" s="33">
        <v>216</v>
      </c>
      <c r="F51" s="34">
        <f t="shared" ref="F51:F56" si="4">E51/C51</f>
        <v>0.6</v>
      </c>
      <c r="G51" s="34">
        <f>E51/D51</f>
        <v>0.58221024258760112</v>
      </c>
    </row>
    <row r="52" spans="2:7" x14ac:dyDescent="0.25">
      <c r="B52" s="32" t="s">
        <v>35</v>
      </c>
      <c r="C52" s="33">
        <f t="shared" ref="C52:C54" si="5">$J$17</f>
        <v>360</v>
      </c>
      <c r="D52" s="33">
        <v>371</v>
      </c>
      <c r="E52" s="33">
        <v>195</v>
      </c>
      <c r="F52" s="34">
        <f t="shared" si="4"/>
        <v>0.54166666666666663</v>
      </c>
      <c r="G52" s="34">
        <f t="shared" ref="G52:G56" si="6">E52/D52</f>
        <v>0.52560646900269536</v>
      </c>
    </row>
    <row r="53" spans="2:7" x14ac:dyDescent="0.25">
      <c r="B53" s="32" t="s">
        <v>36</v>
      </c>
      <c r="C53" s="33">
        <f t="shared" si="5"/>
        <v>360</v>
      </c>
      <c r="D53" s="33">
        <v>371</v>
      </c>
      <c r="E53" s="33">
        <v>166</v>
      </c>
      <c r="F53" s="34">
        <f t="shared" si="4"/>
        <v>0.46111111111111114</v>
      </c>
      <c r="G53" s="34">
        <f t="shared" si="6"/>
        <v>0.44743935309973049</v>
      </c>
    </row>
    <row r="54" spans="2:7" x14ac:dyDescent="0.25">
      <c r="B54" s="32" t="s">
        <v>37</v>
      </c>
      <c r="C54" s="33">
        <f t="shared" si="5"/>
        <v>360</v>
      </c>
      <c r="D54" s="33">
        <v>371</v>
      </c>
      <c r="E54" s="33">
        <v>198</v>
      </c>
      <c r="F54" s="34">
        <f t="shared" si="4"/>
        <v>0.55000000000000004</v>
      </c>
      <c r="G54" s="34">
        <f t="shared" si="6"/>
        <v>0.53369272237196763</v>
      </c>
    </row>
    <row r="55" spans="2:7" x14ac:dyDescent="0.25">
      <c r="B55" s="32" t="s">
        <v>38</v>
      </c>
      <c r="C55" s="33">
        <v>360</v>
      </c>
      <c r="D55" s="33">
        <v>371</v>
      </c>
      <c r="E55" s="33">
        <v>177</v>
      </c>
      <c r="F55" s="34">
        <f t="shared" si="4"/>
        <v>0.49166666666666664</v>
      </c>
      <c r="G55" s="34">
        <f t="shared" si="6"/>
        <v>0.47708894878706198</v>
      </c>
    </row>
    <row r="56" spans="2:7" x14ac:dyDescent="0.25">
      <c r="B56" s="35" t="s">
        <v>39</v>
      </c>
      <c r="C56" s="36">
        <f t="shared" ref="C56" si="7">AVERAGE(C51:C54)</f>
        <v>360</v>
      </c>
      <c r="D56" s="36">
        <v>371</v>
      </c>
      <c r="E56" s="37">
        <f t="shared" ref="E56" si="8">AVERAGE(E51:E54)</f>
        <v>193.75</v>
      </c>
      <c r="F56" s="38">
        <f t="shared" si="4"/>
        <v>0.53819444444444442</v>
      </c>
      <c r="G56" s="39">
        <f t="shared" si="6"/>
        <v>0.52223719676549862</v>
      </c>
    </row>
    <row r="58" spans="2:7" x14ac:dyDescent="0.25">
      <c r="B58" s="28" t="s">
        <v>41</v>
      </c>
    </row>
    <row r="59" spans="2:7" x14ac:dyDescent="0.25">
      <c r="B59" s="29" t="s">
        <v>28</v>
      </c>
      <c r="C59" s="30" t="s">
        <v>16</v>
      </c>
      <c r="D59" s="30"/>
      <c r="E59" s="30"/>
      <c r="F59" s="30"/>
      <c r="G59" s="30"/>
    </row>
    <row r="60" spans="2:7" x14ac:dyDescent="0.25">
      <c r="B60" s="29"/>
      <c r="C60" s="31" t="s">
        <v>29</v>
      </c>
      <c r="D60" s="31" t="s">
        <v>30</v>
      </c>
      <c r="E60" s="31" t="s">
        <v>31</v>
      </c>
      <c r="F60" s="31" t="s">
        <v>32</v>
      </c>
      <c r="G60" s="31" t="s">
        <v>33</v>
      </c>
    </row>
    <row r="61" spans="2:7" x14ac:dyDescent="0.25">
      <c r="B61" s="32" t="s">
        <v>34</v>
      </c>
      <c r="C61" s="33">
        <f>$I$17</f>
        <v>840</v>
      </c>
      <c r="D61" s="33">
        <v>973</v>
      </c>
      <c r="E61" s="33">
        <v>683</v>
      </c>
      <c r="F61" s="34">
        <f t="shared" ref="F61:F66" si="9">E61/C61</f>
        <v>0.81309523809523809</v>
      </c>
      <c r="G61" s="34">
        <f>E61/D61</f>
        <v>0.70195272353545735</v>
      </c>
    </row>
    <row r="62" spans="2:7" x14ac:dyDescent="0.25">
      <c r="B62" s="32" t="s">
        <v>35</v>
      </c>
      <c r="C62" s="33">
        <f t="shared" ref="C62:C64" si="10">$I$17</f>
        <v>840</v>
      </c>
      <c r="D62" s="33">
        <v>973</v>
      </c>
      <c r="E62" s="33">
        <v>596</v>
      </c>
      <c r="F62" s="34">
        <f t="shared" si="9"/>
        <v>0.70952380952380956</v>
      </c>
      <c r="G62" s="34">
        <f t="shared" ref="G62:G66" si="11">E62/D62</f>
        <v>0.61253854059609458</v>
      </c>
    </row>
    <row r="63" spans="2:7" x14ac:dyDescent="0.25">
      <c r="B63" s="32" t="s">
        <v>36</v>
      </c>
      <c r="C63" s="33">
        <f t="shared" si="10"/>
        <v>840</v>
      </c>
      <c r="D63" s="33">
        <v>973</v>
      </c>
      <c r="E63" s="33">
        <v>632</v>
      </c>
      <c r="F63" s="34">
        <f t="shared" si="9"/>
        <v>0.75238095238095237</v>
      </c>
      <c r="G63" s="34">
        <f t="shared" si="11"/>
        <v>0.64953751284686534</v>
      </c>
    </row>
    <row r="64" spans="2:7" x14ac:dyDescent="0.25">
      <c r="B64" s="32" t="s">
        <v>37</v>
      </c>
      <c r="C64" s="33">
        <f t="shared" si="10"/>
        <v>840</v>
      </c>
      <c r="D64" s="33">
        <v>973</v>
      </c>
      <c r="E64" s="33">
        <v>683</v>
      </c>
      <c r="F64" s="34">
        <f t="shared" si="9"/>
        <v>0.81309523809523809</v>
      </c>
      <c r="G64" s="34">
        <f t="shared" si="11"/>
        <v>0.70195272353545735</v>
      </c>
    </row>
    <row r="65" spans="2:7" x14ac:dyDescent="0.25">
      <c r="B65" s="32" t="s">
        <v>38</v>
      </c>
      <c r="C65" s="33">
        <v>840</v>
      </c>
      <c r="D65" s="33">
        <v>973</v>
      </c>
      <c r="E65" s="33">
        <v>639</v>
      </c>
      <c r="F65" s="34">
        <f t="shared" si="9"/>
        <v>0.76071428571428568</v>
      </c>
      <c r="G65" s="34">
        <f t="shared" si="11"/>
        <v>0.65673175745118195</v>
      </c>
    </row>
    <row r="66" spans="2:7" x14ac:dyDescent="0.25">
      <c r="B66" s="35" t="s">
        <v>39</v>
      </c>
      <c r="C66" s="36">
        <f>AVERAGE(C61:C64)</f>
        <v>840</v>
      </c>
      <c r="D66" s="36">
        <v>973</v>
      </c>
      <c r="E66" s="37">
        <f t="shared" ref="E66" si="12">AVERAGE(E61:E64)</f>
        <v>648.5</v>
      </c>
      <c r="F66" s="38">
        <f t="shared" si="9"/>
        <v>0.77202380952380956</v>
      </c>
      <c r="G66" s="39">
        <f t="shared" si="11"/>
        <v>0.66649537512846868</v>
      </c>
    </row>
    <row r="89" spans="2:2" ht="21" x14ac:dyDescent="0.35">
      <c r="B89" s="1" t="s">
        <v>0</v>
      </c>
    </row>
    <row r="90" spans="2:2" ht="21" x14ac:dyDescent="0.35">
      <c r="B90" s="1" t="s">
        <v>1</v>
      </c>
    </row>
    <row r="91" spans="2:2" ht="8.25" customHeight="1" x14ac:dyDescent="0.35">
      <c r="B91" s="1"/>
    </row>
    <row r="92" spans="2:2" x14ac:dyDescent="0.25">
      <c r="B92" s="2" t="s">
        <v>42</v>
      </c>
    </row>
    <row r="93" spans="2:2" x14ac:dyDescent="0.25">
      <c r="B93" s="2" t="s">
        <v>43</v>
      </c>
    </row>
  </sheetData>
  <mergeCells count="39">
    <mergeCell ref="B49:B50"/>
    <mergeCell ref="C49:G49"/>
    <mergeCell ref="B59:B60"/>
    <mergeCell ref="C59:G59"/>
    <mergeCell ref="C32:E32"/>
    <mergeCell ref="F32:H32"/>
    <mergeCell ref="I32:K32"/>
    <mergeCell ref="L32:L33"/>
    <mergeCell ref="M32:M33"/>
    <mergeCell ref="B39:B40"/>
    <mergeCell ref="C39:G39"/>
    <mergeCell ref="M24:M25"/>
    <mergeCell ref="C28:E28"/>
    <mergeCell ref="F28:H28"/>
    <mergeCell ref="I28:K28"/>
    <mergeCell ref="L28:L29"/>
    <mergeCell ref="M28:M29"/>
    <mergeCell ref="F20:H20"/>
    <mergeCell ref="I20:K20"/>
    <mergeCell ref="C24:E24"/>
    <mergeCell ref="F24:H24"/>
    <mergeCell ref="I24:K24"/>
    <mergeCell ref="L24:L25"/>
    <mergeCell ref="O13:O20"/>
    <mergeCell ref="C15:E15"/>
    <mergeCell ref="F15:H15"/>
    <mergeCell ref="I15:K15"/>
    <mergeCell ref="L15:L16"/>
    <mergeCell ref="M15:M16"/>
    <mergeCell ref="C19:E19"/>
    <mergeCell ref="F19:H19"/>
    <mergeCell ref="I19:K19"/>
    <mergeCell ref="C20:E20"/>
    <mergeCell ref="C12:E12"/>
    <mergeCell ref="F12:H12"/>
    <mergeCell ref="I12:K12"/>
    <mergeCell ref="C13:E13"/>
    <mergeCell ref="F13:H13"/>
    <mergeCell ref="I13:K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1112 Outputs &amp; 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2026-02-28T13:00:05Z</dcterms:created>
  <dcterms:modified xsi:type="dcterms:W3CDTF">2026-02-28T13:02:17Z</dcterms:modified>
</cp:coreProperties>
</file>