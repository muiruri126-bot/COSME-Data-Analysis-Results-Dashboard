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442D974F-C6FA-4650-8252-CA8D0D2CB2F4}" xr6:coauthVersionLast="47" xr6:coauthVersionMax="47" xr10:uidLastSave="{00000000-0000-0000-0000-000000000000}"/>
  <bookViews>
    <workbookView xWindow="-110" yWindow="-110" windowWidth="19420" windowHeight="10300" xr2:uid="{431EA2A2-5AD3-4B79-B665-BB8A92A65819}"/>
  </bookViews>
  <sheets>
    <sheet name="Results Me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63" i="11" l="1"/>
  <c r="P262" i="11"/>
  <c r="P261" i="11"/>
  <c r="P260" i="11"/>
  <c r="P259" i="11"/>
  <c r="P258" i="11"/>
  <c r="P257" i="11"/>
  <c r="P256" i="11"/>
  <c r="P255" i="11"/>
  <c r="P254" i="11"/>
  <c r="P253" i="11"/>
  <c r="P252" i="11"/>
  <c r="P251" i="11"/>
  <c r="F262" i="11"/>
  <c r="F263" i="11"/>
  <c r="F261" i="11"/>
  <c r="F260" i="11"/>
  <c r="F259" i="11"/>
  <c r="F258" i="11"/>
  <c r="F257" i="11"/>
  <c r="F256" i="11"/>
  <c r="F255" i="11"/>
  <c r="F254" i="11"/>
  <c r="F253" i="11"/>
  <c r="F252" i="11"/>
  <c r="F251" i="11"/>
  <c r="D255" i="11"/>
  <c r="C255" i="11"/>
  <c r="S244" i="11"/>
  <c r="R244" i="11"/>
  <c r="S243" i="11"/>
  <c r="R243" i="11"/>
  <c r="S242" i="11"/>
  <c r="R242" i="11"/>
  <c r="S241" i="11"/>
  <c r="R241" i="11"/>
  <c r="S240" i="11"/>
  <c r="R240" i="11"/>
  <c r="S239" i="11"/>
  <c r="R239" i="11"/>
  <c r="S238" i="11"/>
  <c r="R238" i="11"/>
  <c r="S237" i="11"/>
  <c r="R237" i="11"/>
  <c r="S236" i="11"/>
  <c r="R236" i="11"/>
  <c r="S235" i="11"/>
  <c r="R235" i="11"/>
  <c r="S234" i="11"/>
  <c r="R234" i="11"/>
  <c r="F244" i="11"/>
  <c r="F243" i="11"/>
  <c r="F242" i="11"/>
  <c r="F241" i="11"/>
  <c r="F240" i="11"/>
  <c r="F239" i="11"/>
  <c r="F238" i="11"/>
  <c r="F237" i="11"/>
  <c r="F236" i="11"/>
  <c r="F235" i="11"/>
  <c r="F234" i="11"/>
  <c r="F219" i="11"/>
  <c r="F220" i="11"/>
  <c r="F221" i="11"/>
  <c r="F222" i="11"/>
  <c r="F223" i="11"/>
  <c r="F224" i="11"/>
  <c r="F225" i="11"/>
  <c r="F226" i="11"/>
  <c r="F227" i="11"/>
  <c r="F228" i="11"/>
  <c r="R220" i="11"/>
  <c r="S220" i="11"/>
  <c r="R221" i="11"/>
  <c r="S221" i="11"/>
  <c r="R222" i="11"/>
  <c r="S222" i="11"/>
  <c r="R223" i="11"/>
  <c r="S223" i="11"/>
  <c r="R224" i="11"/>
  <c r="S224" i="11"/>
  <c r="R225" i="11"/>
  <c r="S225" i="11"/>
  <c r="R226" i="11"/>
  <c r="S226" i="11"/>
  <c r="R227" i="11"/>
  <c r="S227" i="11"/>
  <c r="R228" i="11"/>
  <c r="S228" i="11"/>
  <c r="R229" i="11"/>
  <c r="S229" i="11"/>
  <c r="S219" i="11"/>
  <c r="R219" i="11"/>
  <c r="F218" i="11"/>
  <c r="D206" i="11"/>
  <c r="C206" i="11"/>
  <c r="D199" i="11"/>
  <c r="C199" i="11"/>
  <c r="D193" i="11"/>
  <c r="C193" i="11"/>
  <c r="D184" i="11"/>
  <c r="C184" i="11"/>
  <c r="S175" i="11"/>
  <c r="R175" i="11"/>
  <c r="S174" i="11"/>
  <c r="R174" i="11"/>
  <c r="S173" i="11"/>
  <c r="R173" i="11"/>
  <c r="S172" i="11"/>
  <c r="R172" i="11"/>
  <c r="S171" i="11"/>
  <c r="R171" i="11"/>
  <c r="S170" i="11"/>
  <c r="R170" i="11"/>
  <c r="S169" i="11"/>
  <c r="R169" i="11"/>
  <c r="S168" i="11"/>
  <c r="R168" i="11"/>
  <c r="S167" i="11"/>
  <c r="R167" i="11"/>
  <c r="S166" i="11"/>
  <c r="R166" i="11"/>
  <c r="R152" i="11"/>
  <c r="S152" i="11"/>
  <c r="R153" i="11"/>
  <c r="S153" i="11"/>
  <c r="R154" i="11"/>
  <c r="S154" i="11"/>
  <c r="R155" i="11"/>
  <c r="S155" i="11"/>
  <c r="R156" i="11"/>
  <c r="S156" i="11"/>
  <c r="R157" i="11"/>
  <c r="S157" i="11"/>
  <c r="R158" i="11"/>
  <c r="S158" i="11"/>
  <c r="R159" i="11"/>
  <c r="S159" i="11"/>
  <c r="R160" i="11"/>
  <c r="S160" i="11"/>
  <c r="R161" i="11"/>
  <c r="S161" i="11"/>
  <c r="F175" i="11"/>
  <c r="F174" i="11"/>
  <c r="F173" i="11"/>
  <c r="F172" i="11"/>
  <c r="F171" i="11"/>
  <c r="F170" i="11"/>
  <c r="F169" i="11"/>
  <c r="F168" i="11"/>
  <c r="F167" i="11"/>
  <c r="F166" i="11"/>
  <c r="F152" i="11"/>
  <c r="F161" i="11"/>
  <c r="F160" i="11"/>
  <c r="F159" i="11"/>
  <c r="F158" i="11"/>
  <c r="F157" i="11"/>
  <c r="F156" i="11"/>
  <c r="F155" i="11"/>
  <c r="F154" i="11"/>
  <c r="F153" i="11"/>
</calcChain>
</file>

<file path=xl/sharedStrings.xml><?xml version="1.0" encoding="utf-8"?>
<sst xmlns="http://schemas.openxmlformats.org/spreadsheetml/2006/main" count="414" uniqueCount="202">
  <si>
    <t>Government Wage/Salary</t>
  </si>
  <si>
    <t>Animal Breeding</t>
  </si>
  <si>
    <t>Private Sector Wage/Salary</t>
  </si>
  <si>
    <t>Culture fisheries (farmed fish, prawns, crabs, or shellfish)</t>
  </si>
  <si>
    <t>Transfers and Social Assistance</t>
  </si>
  <si>
    <t>Small Business</t>
  </si>
  <si>
    <t>Capture fisheries (fish, shellfish, other)</t>
  </si>
  <si>
    <t>Casual Labour</t>
  </si>
  <si>
    <t>Seaweed Farming</t>
  </si>
  <si>
    <t>Nurseries</t>
  </si>
  <si>
    <t>Other</t>
  </si>
  <si>
    <t>None</t>
  </si>
  <si>
    <t>Yes</t>
  </si>
  <si>
    <t>No</t>
  </si>
  <si>
    <t xml:space="preserve">Work in formal employment																										</t>
  </si>
  <si>
    <t xml:space="preserve">Fishing																										</t>
  </si>
  <si>
    <t xml:space="preserve">Seaweed farming																										</t>
  </si>
  <si>
    <t xml:space="preserve">Caring for children, ill or elderly family members																										</t>
  </si>
  <si>
    <t xml:space="preserve">Fetching firewood																										</t>
  </si>
  <si>
    <t xml:space="preserve">Cleaning the house, washing and drying clothes, ironing																										</t>
  </si>
  <si>
    <t xml:space="preserve">Sleeping, napping																										</t>
  </si>
  <si>
    <t xml:space="preserve">Selling products at the market (working in own business)																										</t>
  </si>
  <si>
    <t xml:space="preserve">Farming and agricultural activity for own benefit (staple grain farming, horticulture gardening, high value crop farming)																										</t>
  </si>
  <si>
    <t xml:space="preserve">Mangrove Restoration																										</t>
  </si>
  <si>
    <t xml:space="preserve">Fetching water																										</t>
  </si>
  <si>
    <t xml:space="preserve">Preparing food and drinks, cooking, doing the dishes																										</t>
  </si>
  <si>
    <t xml:space="preserve">Personal care (eating, bathing, resting)																										</t>
  </si>
  <si>
    <t xml:space="preserve">Farming and agricultural activity for someone else / casual labour (staple grain farming, horticulture gardening, high value crop farming)																										</t>
  </si>
  <si>
    <t xml:space="preserve">Forest Management and Conservation																										</t>
  </si>
  <si>
    <t xml:space="preserve">Attending school, training or studying																										</t>
  </si>
  <si>
    <t xml:space="preserve">Other																									</t>
  </si>
  <si>
    <t>Hotter Temperatures</t>
  </si>
  <si>
    <t>Increased Drought</t>
  </si>
  <si>
    <t>Warming of oceans and other water bodies</t>
  </si>
  <si>
    <t>Sea level rise</t>
  </si>
  <si>
    <t>Loss of Species</t>
  </si>
  <si>
    <t>Migration of Species</t>
  </si>
  <si>
    <t>Changes in Animals migration patterns</t>
  </si>
  <si>
    <t>Spread of disease and toxic algal blooms</t>
  </si>
  <si>
    <t>Ocean acidification affecting coral reefs, estuaries and other coastal resources, with changes in associated ecosystems and fisheries</t>
  </si>
  <si>
    <t>Increased risk of species invasions and spread of vector-borne diseases</t>
  </si>
  <si>
    <t>I do not know</t>
  </si>
  <si>
    <t>Increased Food Insecurity</t>
  </si>
  <si>
    <t>Increased Water Insecurity</t>
  </si>
  <si>
    <t>Personal risk from extreme events</t>
  </si>
  <si>
    <t>Forced migration due to natural disasters</t>
  </si>
  <si>
    <t>Changes in livelihood activities</t>
  </si>
  <si>
    <t>Reduced livelihood activities</t>
  </si>
  <si>
    <t>Extreme weather events impacting on key infrastructure</t>
  </si>
  <si>
    <t>Reduced agricultural productivity</t>
  </si>
  <si>
    <t>Crop Loss</t>
  </si>
  <si>
    <t>Loss of Livestock</t>
  </si>
  <si>
    <t>Reduced Livestock Productivity</t>
  </si>
  <si>
    <t>Loss of household savings and assets</t>
  </si>
  <si>
    <t>I do not Know</t>
  </si>
  <si>
    <t>Mangrove Restoration</t>
  </si>
  <si>
    <t>Coral Reef Restoration</t>
  </si>
  <si>
    <t>Reforestation, prevention of deforestation and degradation</t>
  </si>
  <si>
    <t>Sustainable Seaweed Farming</t>
  </si>
  <si>
    <t>Rainwater harvesting and management</t>
  </si>
  <si>
    <t>Sustainable agriculture practices (e.g., agroforestry, regenerative agriculture)</t>
  </si>
  <si>
    <t>Solar energy</t>
  </si>
  <si>
    <t>Carbon capture</t>
  </si>
  <si>
    <t>Reduce storm surges and coastal flooding from sea level rise</t>
  </si>
  <si>
    <t>Defense against salination resulting from sea water intrusion</t>
  </si>
  <si>
    <t>Improve local air quality</t>
  </si>
  <si>
    <t>Promote water conservation and management</t>
  </si>
  <si>
    <t>Enhance soil health and fertility</t>
  </si>
  <si>
    <t>Support pollinators and biodiversity</t>
  </si>
  <si>
    <t>Improve local biodiversity and ecosystems</t>
  </si>
  <si>
    <t>Improve fish diversity and quantity</t>
  </si>
  <si>
    <t>Improve seawater quality and clarity</t>
  </si>
  <si>
    <t>Improved and diversified livelihoods, health and well being of communities</t>
  </si>
  <si>
    <t>If the woman earns an income, it is better for her husband to handle the money</t>
  </si>
  <si>
    <t>Men have better business ideas</t>
  </si>
  <si>
    <t>A man's job is to earn money; a woman's job is to look after the home and family</t>
  </si>
  <si>
    <t>If a woman is dressed inappropriately, it is her fault if she is sexually harassed</t>
  </si>
  <si>
    <t>A woman who knows how to cook and clean the house will be a good wife</t>
  </si>
  <si>
    <t>It is embarassing/humiliating for men to do domestic chores such as cooking, cleaning, fetching water and caring for children.</t>
  </si>
  <si>
    <t>Planting seeds and watering crops (for family food security) is women's work.</t>
  </si>
  <si>
    <t>The daily work of restoring degraded ecosystems like (mangroves/forest) through planting and watering is really women's work.</t>
  </si>
  <si>
    <t>Only men should drive boats.</t>
  </si>
  <si>
    <t>It is ok for women to display and express emotions such as sadness and loss, but it is not normally ok for men to do so.</t>
  </si>
  <si>
    <t>We all should do our part to be supportive of people who experience violence and sexual harassment.</t>
  </si>
  <si>
    <t>When women gain rights, men loose.</t>
  </si>
  <si>
    <t>When women are stronger and more independent, families and communities are stronger</t>
  </si>
  <si>
    <t>Marine</t>
  </si>
  <si>
    <t>Primary</t>
  </si>
  <si>
    <t>Agiculture</t>
  </si>
  <si>
    <t>Completely Acceptable</t>
  </si>
  <si>
    <t xml:space="preserve">No, I have not </t>
  </si>
  <si>
    <t>Somewhat Acceptable</t>
  </si>
  <si>
    <t xml:space="preserve">No </t>
  </si>
  <si>
    <t>Yes, I have heard of mangrove restoration only</t>
  </si>
  <si>
    <t>Pre-primary, none, or other</t>
  </si>
  <si>
    <t>College level or higher</t>
  </si>
  <si>
    <t>Secondary or post-primary, vocational</t>
  </si>
  <si>
    <t>Not Acceptable</t>
  </si>
  <si>
    <t>Terrestrial</t>
  </si>
  <si>
    <t>Yes, I have heard of forest management and conservation</t>
  </si>
  <si>
    <t>Does not Know/Answer</t>
  </si>
  <si>
    <t>Yes, I have heard of sustainable seaweed farming only</t>
  </si>
  <si>
    <t>Yes, I have heard of sustainable seaweed farming, its economic benefits and its importance to coastal ecosystems</t>
  </si>
  <si>
    <t>Yes, I have heard of mangrove restoration and its importance to coastal ecosystems</t>
  </si>
  <si>
    <t>More extreme weather events (e.g.floods, droughts and storms)</t>
  </si>
  <si>
    <t>Prepare and cook food for the household</t>
  </si>
  <si>
    <t>Clean/ sweep the house</t>
  </si>
  <si>
    <t>Look after Livestock</t>
  </si>
  <si>
    <t>Maintain a family Garden</t>
  </si>
  <si>
    <t>Look after ill/elderly /disabled family members at home</t>
  </si>
  <si>
    <t>Fetch firewood</t>
  </si>
  <si>
    <t>Fetch water</t>
  </si>
  <si>
    <t>Wash clothes</t>
  </si>
  <si>
    <t>Be the main income provider/buy food for the household</t>
  </si>
  <si>
    <t>Care for children (under 10 years)</t>
  </si>
  <si>
    <t>Starting a small business or self-employment</t>
  </si>
  <si>
    <t>Large household purchases (land, vehicle, appliances)</t>
  </si>
  <si>
    <t>Using household savings</t>
  </si>
  <si>
    <t>Whether the household should take out a loan, from what source, and how much to borrow</t>
  </si>
  <si>
    <t>Education of children and adolescents</t>
  </si>
  <si>
    <t>Routine household purchases (food for daily consumption or other household needs)</t>
  </si>
  <si>
    <t>If women should go for routine work at the mangrove/seaweed/forest nursery.</t>
  </si>
  <si>
    <t>How to use money made from the mainhousehold income-generating activities</t>
  </si>
  <si>
    <t>If women should go to the market.</t>
  </si>
  <si>
    <t>If women should go to work on the farm.</t>
  </si>
  <si>
    <t>How to invest money borrowed or saved</t>
  </si>
  <si>
    <t>Supported with mangrove restoration work</t>
  </si>
  <si>
    <t>Supported with seaweed farming work</t>
  </si>
  <si>
    <t>Supported with Household chores and responsabilities</t>
  </si>
  <si>
    <t>Supported with the purchase of materials and inputs for seaweed farming</t>
  </si>
  <si>
    <t>Encouraged participation of female HH members in seaweed farming</t>
  </si>
  <si>
    <t>Somehow</t>
  </si>
  <si>
    <t>Encouraged participation of female HH members in mangrove restoration</t>
  </si>
  <si>
    <t>Supported with the purchase of materials and inputs for mangrove restoration</t>
  </si>
  <si>
    <t>Encouraged participation of female HH members in forest management and conservation</t>
  </si>
  <si>
    <t>Supported with forest management and conservation work</t>
  </si>
  <si>
    <t>Supported with the purchase of materials and inputs for forest management and conservation</t>
  </si>
  <si>
    <t>Sought support from community for female HH members' participation in mangrove restoration</t>
  </si>
  <si>
    <t>Sought support from community for female HH members' participation in forest management and conservation</t>
  </si>
  <si>
    <t>Sought support from community for female HH members' participation in seaweed farming</t>
  </si>
  <si>
    <t>Baseline</t>
  </si>
  <si>
    <t>Midline</t>
  </si>
  <si>
    <t>COSME</t>
  </si>
  <si>
    <t>A. HOUSEHOLD CHARACTERISTICS</t>
  </si>
  <si>
    <t>Women</t>
  </si>
  <si>
    <t>Men</t>
  </si>
  <si>
    <t xml:space="preserve"> Social or religious activity (visiting relatives, neighbors or friends, attending weddings or funerals, going to church or mosque, attending community groups)																										</t>
  </si>
  <si>
    <t>Unpaid Care Work</t>
  </si>
  <si>
    <t>Productive Work</t>
  </si>
  <si>
    <t>Community Conservation Work</t>
  </si>
  <si>
    <t>Personal Development</t>
  </si>
  <si>
    <t>Personal Care</t>
  </si>
  <si>
    <t>Leisure</t>
  </si>
  <si>
    <t>M-B</t>
  </si>
  <si>
    <t>W_M-B</t>
  </si>
  <si>
    <t>M_M-B</t>
  </si>
  <si>
    <t>Men Survey</t>
  </si>
  <si>
    <t>Percentage of men by main HH economic activity</t>
  </si>
  <si>
    <t>Percentage of men that have heard of mangrove restoration and its importance to coastal ecosystems</t>
  </si>
  <si>
    <t>Percentage of men that have heard of seaweed farming</t>
  </si>
  <si>
    <t>Percentage of men that have heard of forest management and conservation</t>
  </si>
  <si>
    <t>Percentage of men that have heard of climate change</t>
  </si>
  <si>
    <t>Percentage of men stating the effects of Climate Change on their livelihoods/wellbeing</t>
  </si>
  <si>
    <t>Percentage of men who adequately define Climate Change</t>
  </si>
  <si>
    <t xml:space="preserve">Percentage of men stating the effects of Climate Change on their environment </t>
  </si>
  <si>
    <t>Percentage of men who adequately define NbS</t>
  </si>
  <si>
    <t>Percentage of men stating benefits of using NbS solutions</t>
  </si>
  <si>
    <t>Percentage of men that have heard of NbS</t>
  </si>
  <si>
    <t>Percentage of men providing examples of NbS</t>
  </si>
  <si>
    <t>B. KNOWLEDGE ECONOMIC RIGHTS AND NBS</t>
  </si>
  <si>
    <t>B1. MANGOVE RESTORATION</t>
  </si>
  <si>
    <t>B2. SEAWEED FARMING</t>
  </si>
  <si>
    <t>B3. FOREST MANAGEMENT</t>
  </si>
  <si>
    <t>Percentage of men with female HH members that have ever actively participated in mangrove restoration</t>
  </si>
  <si>
    <t>Percentage of men with female HH members currently involved in mangrove restoration</t>
  </si>
  <si>
    <t>Percentage of men supporting female HH members in their mangrove restoration efforts</t>
  </si>
  <si>
    <t>Percentage of men by type of support provided to female HH members in their mangrove restoration efforts</t>
  </si>
  <si>
    <t>Percentage of men supporting female HH members in their seaweed farming efforts</t>
  </si>
  <si>
    <t>Percentage of men by type of support provided to female HH members in their seaweed farming efforts</t>
  </si>
  <si>
    <t>Percentage of men with female HH members that have ever actively participated in seaweed farming</t>
  </si>
  <si>
    <t>Percentage of men with female HH members that are  currently involved in seaweed farming</t>
  </si>
  <si>
    <t>Percentage of men with female HH members that have ever actively participated in forest management and conservation</t>
  </si>
  <si>
    <t>Percentage of men with female HH members that are  currently involved in forest management and conservation</t>
  </si>
  <si>
    <t>Percentage of men by type of support provided to female HH members in their forest management and conservation efforts</t>
  </si>
  <si>
    <r>
      <t>Percentage  of men  stating roles and responsabilities should be</t>
    </r>
    <r>
      <rPr>
        <b/>
        <i/>
        <u/>
        <sz val="11"/>
        <color theme="1"/>
        <rFont val="Calibri"/>
        <family val="2"/>
        <scheme val="minor"/>
      </rPr>
      <t xml:space="preserve"> 'Joint, both men and women'</t>
    </r>
  </si>
  <si>
    <r>
      <t xml:space="preserve">Percentage  of men  stating roles and responsabilities should be for </t>
    </r>
    <r>
      <rPr>
        <b/>
        <i/>
        <u/>
        <sz val="11"/>
        <color theme="1"/>
        <rFont val="Calibri"/>
        <family val="2"/>
        <scheme val="minor"/>
      </rPr>
      <t>'Men'</t>
    </r>
    <r>
      <rPr>
        <b/>
        <i/>
        <sz val="11"/>
        <color theme="1"/>
        <rFont val="Calibri"/>
        <family val="2"/>
        <scheme val="minor"/>
      </rPr>
      <t xml:space="preserve"> or </t>
    </r>
    <r>
      <rPr>
        <b/>
        <i/>
        <u/>
        <sz val="11"/>
        <color theme="1"/>
        <rFont val="Calibri"/>
        <family val="2"/>
        <scheme val="minor"/>
      </rPr>
      <t>'Women'</t>
    </r>
  </si>
  <si>
    <r>
      <t xml:space="preserve">Percentage of men experiencing  </t>
    </r>
    <r>
      <rPr>
        <b/>
        <i/>
        <u/>
        <sz val="11"/>
        <color theme="1"/>
        <rFont val="Calibri"/>
        <family val="2"/>
        <scheme val="minor"/>
      </rPr>
      <t xml:space="preserve">'Joint, both men and women' </t>
    </r>
    <r>
      <rPr>
        <b/>
        <i/>
        <sz val="11"/>
        <color theme="1"/>
        <rFont val="Calibri"/>
        <family val="2"/>
        <scheme val="minor"/>
      </rPr>
      <t xml:space="preserve"> responsabilities in their HH</t>
    </r>
  </si>
  <si>
    <r>
      <t xml:space="preserve">Percentage of men experiencing </t>
    </r>
    <r>
      <rPr>
        <b/>
        <i/>
        <u/>
        <sz val="11"/>
        <color theme="1"/>
        <rFont val="Calibri"/>
        <family val="2"/>
        <scheme val="minor"/>
      </rPr>
      <t>Self or Spouse only</t>
    </r>
    <r>
      <rPr>
        <b/>
        <i/>
        <sz val="11"/>
        <color theme="1"/>
        <rFont val="Calibri"/>
        <family val="2"/>
        <scheme val="minor"/>
      </rPr>
      <t xml:space="preserve"> responsabilities in their HH</t>
    </r>
  </si>
  <si>
    <t>Average hours spent by men carrying  out HH activities in the past 24 hours</t>
  </si>
  <si>
    <r>
      <t>Percentage  of men  stating decision making should be</t>
    </r>
    <r>
      <rPr>
        <b/>
        <i/>
        <u/>
        <sz val="11"/>
        <color theme="1"/>
        <rFont val="Calibri"/>
        <family val="2"/>
        <scheme val="minor"/>
      </rPr>
      <t xml:space="preserve"> 'Joint, both men and women'</t>
    </r>
  </si>
  <si>
    <r>
      <t xml:space="preserve">Percentage  of men  stating decision making should be for </t>
    </r>
    <r>
      <rPr>
        <b/>
        <i/>
        <u/>
        <sz val="11"/>
        <color theme="1"/>
        <rFont val="Calibri"/>
        <family val="2"/>
        <scheme val="minor"/>
      </rPr>
      <t>'Men'</t>
    </r>
    <r>
      <rPr>
        <b/>
        <i/>
        <sz val="11"/>
        <color theme="1"/>
        <rFont val="Calibri"/>
        <family val="2"/>
        <scheme val="minor"/>
      </rPr>
      <t xml:space="preserve"> or </t>
    </r>
    <r>
      <rPr>
        <b/>
        <i/>
        <u/>
        <sz val="11"/>
        <color theme="1"/>
        <rFont val="Calibri"/>
        <family val="2"/>
        <scheme val="minor"/>
      </rPr>
      <t>'Women'</t>
    </r>
  </si>
  <si>
    <t>Men (Myself)</t>
  </si>
  <si>
    <t>Women (My Spouse)</t>
  </si>
  <si>
    <r>
      <t xml:space="preserve">Percentage of men experiencing  </t>
    </r>
    <r>
      <rPr>
        <b/>
        <i/>
        <u/>
        <sz val="11"/>
        <color theme="1"/>
        <rFont val="Calibri"/>
        <family val="2"/>
        <scheme val="minor"/>
      </rPr>
      <t xml:space="preserve">'Joint, both men and women' </t>
    </r>
    <r>
      <rPr>
        <b/>
        <i/>
        <sz val="11"/>
        <color theme="1"/>
        <rFont val="Calibri"/>
        <family val="2"/>
        <scheme val="minor"/>
      </rPr>
      <t xml:space="preserve"> decision making in their HH</t>
    </r>
  </si>
  <si>
    <r>
      <t xml:space="preserve">Percentage of men experiencing </t>
    </r>
    <r>
      <rPr>
        <b/>
        <i/>
        <u/>
        <sz val="11"/>
        <color theme="1"/>
        <rFont val="Calibri"/>
        <family val="2"/>
        <scheme val="minor"/>
      </rPr>
      <t>Self or Spouse only</t>
    </r>
    <r>
      <rPr>
        <b/>
        <i/>
        <sz val="11"/>
        <color theme="1"/>
        <rFont val="Calibri"/>
        <family val="2"/>
        <scheme val="minor"/>
      </rPr>
      <t xml:space="preserve"> decision making in their HH</t>
    </r>
  </si>
  <si>
    <t>C. ROLES, RESPONSABILITIES AND TIME POVERTY</t>
  </si>
  <si>
    <t>D. DECISION MAKING</t>
  </si>
  <si>
    <t>E. SOCIAL NORMS</t>
  </si>
  <si>
    <t>Percentage of men agreeing or strongly agreeing with social norms statements</t>
  </si>
  <si>
    <t>Percentage of men strongly agreeing with social norms statements</t>
  </si>
  <si>
    <t>Percentage of men by type of location/intervention</t>
  </si>
  <si>
    <t>Percentage of men by highest educational level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</si>
</sst>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0" fillId="0" borderId="1" xfId="0" applyNumberForma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6" fontId="0" fillId="0" borderId="0" xfId="1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166" fontId="0" fillId="0" borderId="1" xfId="0" applyNumberFormat="1" applyBorder="1"/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0" fillId="0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0" fontId="0" fillId="0" borderId="0" xfId="0" applyBorder="1"/>
    <xf numFmtId="166" fontId="0" fillId="0" borderId="0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2820-589D-4527-B5AF-E613C023BB25}">
  <sheetPr>
    <tabColor theme="1"/>
  </sheetPr>
  <dimension ref="A3:S263"/>
  <sheetViews>
    <sheetView tabSelected="1" topLeftCell="A40" zoomScaleNormal="100" workbookViewId="0">
      <selection activeCell="K6" sqref="K6"/>
    </sheetView>
  </sheetViews>
  <sheetFormatPr defaultRowHeight="15" x14ac:dyDescent="0.25"/>
  <cols>
    <col min="1" max="1" width="10.7109375" customWidth="1"/>
    <col min="2" max="2" width="52.140625" customWidth="1"/>
    <col min="5" max="5" width="2.140625" customWidth="1"/>
    <col min="6" max="6" width="10.85546875" customWidth="1"/>
    <col min="7" max="11" width="4.28515625" customWidth="1"/>
    <col min="12" max="12" width="47.28515625" customWidth="1"/>
    <col min="17" max="17" width="3" customWidth="1"/>
  </cols>
  <sheetData>
    <row r="3" spans="2:14" ht="31.5" x14ac:dyDescent="0.5">
      <c r="B3" s="3" t="s">
        <v>156</v>
      </c>
    </row>
    <row r="4" spans="2:14" ht="7.5" customHeight="1" x14ac:dyDescent="0.4">
      <c r="B4" s="2"/>
    </row>
    <row r="5" spans="2:14" ht="26.25" x14ac:dyDescent="0.4">
      <c r="B5" s="2" t="s">
        <v>142</v>
      </c>
    </row>
    <row r="8" spans="2:14" ht="21" x14ac:dyDescent="0.35">
      <c r="B8" s="1" t="s">
        <v>143</v>
      </c>
    </row>
    <row r="9" spans="2:14" ht="13.5" customHeight="1" x14ac:dyDescent="0.35">
      <c r="B9" s="1"/>
    </row>
    <row r="10" spans="2:14" ht="13.5" customHeight="1" x14ac:dyDescent="0.25">
      <c r="B10" s="4" t="s">
        <v>200</v>
      </c>
      <c r="L10" s="4" t="s">
        <v>201</v>
      </c>
    </row>
    <row r="11" spans="2:14" ht="13.5" customHeight="1" x14ac:dyDescent="0.35">
      <c r="B11" s="1"/>
      <c r="C11" s="7" t="s">
        <v>140</v>
      </c>
      <c r="D11" s="7" t="s">
        <v>141</v>
      </c>
      <c r="M11" s="7" t="s">
        <v>140</v>
      </c>
      <c r="N11" s="7" t="s">
        <v>141</v>
      </c>
    </row>
    <row r="12" spans="2:14" ht="13.5" customHeight="1" x14ac:dyDescent="0.25">
      <c r="B12" s="6" t="s">
        <v>86</v>
      </c>
      <c r="C12" s="5">
        <v>0.53252647503782147</v>
      </c>
      <c r="D12" s="5">
        <v>0.70454545454545459</v>
      </c>
      <c r="L12" s="6" t="s">
        <v>95</v>
      </c>
      <c r="M12" s="5">
        <v>3.9334341906202726E-2</v>
      </c>
      <c r="N12" s="5">
        <v>9.0909090909090912E-2</v>
      </c>
    </row>
    <row r="13" spans="2:14" x14ac:dyDescent="0.25">
      <c r="B13" s="6" t="s">
        <v>98</v>
      </c>
      <c r="C13" s="5">
        <v>0.46747352496217853</v>
      </c>
      <c r="D13" s="5">
        <v>0.29545454545454547</v>
      </c>
      <c r="L13" s="6" t="s">
        <v>94</v>
      </c>
      <c r="M13" s="5">
        <v>0.27080181543116488</v>
      </c>
      <c r="N13" s="5">
        <v>0.15909090909090909</v>
      </c>
    </row>
    <row r="14" spans="2:14" x14ac:dyDescent="0.25">
      <c r="L14" s="6" t="s">
        <v>87</v>
      </c>
      <c r="M14" s="5">
        <v>0.4795763993948563</v>
      </c>
      <c r="N14" s="5">
        <v>0.44318181818181818</v>
      </c>
    </row>
    <row r="15" spans="2:14" x14ac:dyDescent="0.25">
      <c r="B15" s="4" t="s">
        <v>157</v>
      </c>
      <c r="L15" s="6" t="s">
        <v>96</v>
      </c>
      <c r="M15" s="5">
        <v>0.2102874432677761</v>
      </c>
      <c r="N15" s="5">
        <v>0.30681818181818182</v>
      </c>
    </row>
    <row r="16" spans="2:14" x14ac:dyDescent="0.25">
      <c r="C16" s="7" t="s">
        <v>140</v>
      </c>
      <c r="D16" s="7" t="s">
        <v>141</v>
      </c>
    </row>
    <row r="17" spans="2:4" x14ac:dyDescent="0.25">
      <c r="B17" s="6" t="s">
        <v>88</v>
      </c>
      <c r="C17" s="5">
        <v>0.35854765506807867</v>
      </c>
      <c r="D17" s="5">
        <v>0.34090909090909088</v>
      </c>
    </row>
    <row r="18" spans="2:4" x14ac:dyDescent="0.25">
      <c r="B18" s="6" t="s">
        <v>6</v>
      </c>
      <c r="C18" s="5">
        <v>8.9258698940998485E-2</v>
      </c>
      <c r="D18" s="5">
        <v>0.20454545454545456</v>
      </c>
    </row>
    <row r="19" spans="2:4" x14ac:dyDescent="0.25">
      <c r="B19" s="6" t="s">
        <v>5</v>
      </c>
      <c r="C19" s="5">
        <v>0.11649016641452345</v>
      </c>
      <c r="D19" s="5">
        <v>0.20454545454545456</v>
      </c>
    </row>
    <row r="20" spans="2:4" x14ac:dyDescent="0.25">
      <c r="B20" s="6" t="s">
        <v>7</v>
      </c>
      <c r="C20" s="5">
        <v>0.26021180030257185</v>
      </c>
      <c r="D20" s="5">
        <v>0.14772727272727273</v>
      </c>
    </row>
    <row r="21" spans="2:4" x14ac:dyDescent="0.25">
      <c r="B21" s="6" t="s">
        <v>3</v>
      </c>
      <c r="C21" s="5">
        <v>2.4205748865355523E-2</v>
      </c>
      <c r="D21" s="5">
        <v>4.5454545454545456E-2</v>
      </c>
    </row>
    <row r="22" spans="2:4" x14ac:dyDescent="0.25">
      <c r="B22" s="6" t="s">
        <v>2</v>
      </c>
      <c r="C22" s="5">
        <v>5.9001512859304085E-2</v>
      </c>
      <c r="D22" s="5">
        <v>2.2727272727272728E-2</v>
      </c>
    </row>
    <row r="23" spans="2:4" x14ac:dyDescent="0.25">
      <c r="B23" s="6" t="s">
        <v>1</v>
      </c>
      <c r="C23" s="5">
        <v>3.0257186081694403E-3</v>
      </c>
      <c r="D23" s="5">
        <v>1.1363636363636364E-2</v>
      </c>
    </row>
    <row r="24" spans="2:4" x14ac:dyDescent="0.25">
      <c r="B24" s="6" t="s">
        <v>10</v>
      </c>
      <c r="C24" s="5">
        <v>3.9334341906202726E-2</v>
      </c>
      <c r="D24" s="5">
        <v>1.1363636363636364E-2</v>
      </c>
    </row>
    <row r="25" spans="2:4" x14ac:dyDescent="0.25">
      <c r="B25" s="6" t="s">
        <v>8</v>
      </c>
      <c r="C25" s="5">
        <v>0</v>
      </c>
      <c r="D25" s="5">
        <v>1.1363636363636364E-2</v>
      </c>
    </row>
    <row r="26" spans="2:4" x14ac:dyDescent="0.25">
      <c r="B26" s="6" t="s">
        <v>0</v>
      </c>
      <c r="C26" s="5">
        <v>3.7821482602118005E-2</v>
      </c>
      <c r="D26" s="5">
        <v>0</v>
      </c>
    </row>
    <row r="27" spans="2:4" x14ac:dyDescent="0.25">
      <c r="B27" s="6" t="s">
        <v>9</v>
      </c>
      <c r="C27" s="5">
        <v>1.5128593040847202E-3</v>
      </c>
      <c r="D27" s="5">
        <v>0</v>
      </c>
    </row>
    <row r="28" spans="2:4" x14ac:dyDescent="0.25">
      <c r="B28" s="6" t="s">
        <v>4</v>
      </c>
      <c r="C28" s="5">
        <v>1.059001512859304E-2</v>
      </c>
      <c r="D28" s="5">
        <v>0</v>
      </c>
    </row>
    <row r="29" spans="2:4" x14ac:dyDescent="0.25">
      <c r="B29" s="18"/>
      <c r="C29" s="19"/>
      <c r="D29" s="19"/>
    </row>
    <row r="31" spans="2:4" ht="21" x14ac:dyDescent="0.35">
      <c r="B31" s="1" t="s">
        <v>169</v>
      </c>
    </row>
    <row r="34" spans="2:14" x14ac:dyDescent="0.25">
      <c r="B34" s="4" t="s">
        <v>161</v>
      </c>
      <c r="L34" s="4" t="s">
        <v>162</v>
      </c>
    </row>
    <row r="35" spans="2:14" x14ac:dyDescent="0.25">
      <c r="C35" s="7" t="s">
        <v>140</v>
      </c>
      <c r="D35" s="7" t="s">
        <v>141</v>
      </c>
      <c r="M35" s="7" t="s">
        <v>140</v>
      </c>
      <c r="N35" s="7" t="s">
        <v>141</v>
      </c>
    </row>
    <row r="36" spans="2:14" x14ac:dyDescent="0.25">
      <c r="B36" s="8" t="s">
        <v>12</v>
      </c>
      <c r="C36" s="5">
        <v>0.77760968229954619</v>
      </c>
      <c r="D36" s="5">
        <v>1</v>
      </c>
      <c r="L36" s="8" t="s">
        <v>42</v>
      </c>
      <c r="M36" s="5">
        <v>0.65658093797276851</v>
      </c>
      <c r="N36" s="5">
        <v>0.84090909090909094</v>
      </c>
    </row>
    <row r="37" spans="2:14" x14ac:dyDescent="0.25">
      <c r="B37" s="8" t="s">
        <v>13</v>
      </c>
      <c r="C37" s="5">
        <v>0.22239031770045387</v>
      </c>
      <c r="D37" s="5">
        <v>0</v>
      </c>
      <c r="L37" s="8" t="s">
        <v>43</v>
      </c>
      <c r="M37" s="5">
        <v>0.35400907715582453</v>
      </c>
      <c r="N37" s="5">
        <v>0.69318181818181823</v>
      </c>
    </row>
    <row r="38" spans="2:14" x14ac:dyDescent="0.25">
      <c r="L38" s="8" t="s">
        <v>44</v>
      </c>
      <c r="M38" s="5">
        <v>6.9591527987897125E-2</v>
      </c>
      <c r="N38" s="5">
        <v>9.0909090909090912E-2</v>
      </c>
    </row>
    <row r="39" spans="2:14" x14ac:dyDescent="0.25">
      <c r="B39" s="4" t="s">
        <v>163</v>
      </c>
      <c r="L39" s="8" t="s">
        <v>45</v>
      </c>
      <c r="M39" s="5">
        <v>1.6641452344931921E-2</v>
      </c>
      <c r="N39" s="5">
        <v>5.6818181818181816E-2</v>
      </c>
    </row>
    <row r="40" spans="2:14" x14ac:dyDescent="0.25">
      <c r="C40" s="7" t="s">
        <v>140</v>
      </c>
      <c r="D40" s="7" t="s">
        <v>141</v>
      </c>
      <c r="L40" s="8" t="s">
        <v>46</v>
      </c>
      <c r="M40" s="5">
        <v>0.27534039334341909</v>
      </c>
      <c r="N40" s="5">
        <v>0.27272727272727271</v>
      </c>
    </row>
    <row r="41" spans="2:14" x14ac:dyDescent="0.25">
      <c r="B41" s="8" t="s">
        <v>89</v>
      </c>
      <c r="C41" s="5">
        <v>0.51556420233463029</v>
      </c>
      <c r="D41" s="5">
        <v>0.70454545454545459</v>
      </c>
      <c r="L41" s="8" t="s">
        <v>47</v>
      </c>
      <c r="M41" s="5">
        <v>0.28895612708018154</v>
      </c>
      <c r="N41" s="5">
        <v>0.31818181818181818</v>
      </c>
    </row>
    <row r="42" spans="2:14" x14ac:dyDescent="0.25">
      <c r="B42" s="8" t="s">
        <v>91</v>
      </c>
      <c r="C42" s="5">
        <v>0.42996108949416345</v>
      </c>
      <c r="D42" s="5">
        <v>0.25</v>
      </c>
      <c r="L42" s="8" t="s">
        <v>48</v>
      </c>
      <c r="M42" s="5">
        <v>3.4795763993948563E-2</v>
      </c>
      <c r="N42" s="5">
        <v>6.8181818181818177E-2</v>
      </c>
    </row>
    <row r="43" spans="2:14" x14ac:dyDescent="0.25">
      <c r="B43" s="8" t="s">
        <v>97</v>
      </c>
      <c r="C43" s="5">
        <v>3.6964980544747082E-2</v>
      </c>
      <c r="D43" s="5">
        <v>1.1363636363636364E-2</v>
      </c>
      <c r="L43" s="8" t="s">
        <v>49</v>
      </c>
      <c r="M43" s="5">
        <v>0.23903177004538578</v>
      </c>
      <c r="N43" s="5">
        <v>0.28409090909090912</v>
      </c>
    </row>
    <row r="44" spans="2:14" x14ac:dyDescent="0.25">
      <c r="B44" s="8" t="s">
        <v>100</v>
      </c>
      <c r="C44" s="5">
        <v>1.7509727626459144E-2</v>
      </c>
      <c r="D44" s="5">
        <v>3.4090909090909088E-2</v>
      </c>
      <c r="L44" s="8" t="s">
        <v>50</v>
      </c>
      <c r="M44" s="5">
        <v>0.39031770045385777</v>
      </c>
      <c r="N44" s="5">
        <v>0.31818181818181818</v>
      </c>
    </row>
    <row r="45" spans="2:14" x14ac:dyDescent="0.25">
      <c r="L45" s="8" t="s">
        <v>51</v>
      </c>
      <c r="M45" s="5">
        <v>0.30257186081694404</v>
      </c>
      <c r="N45" s="5">
        <v>0.27272727272727271</v>
      </c>
    </row>
    <row r="46" spans="2:14" x14ac:dyDescent="0.25">
      <c r="B46" s="4" t="s">
        <v>164</v>
      </c>
      <c r="L46" s="8" t="s">
        <v>52</v>
      </c>
      <c r="M46" s="5">
        <v>0.1664145234493192</v>
      </c>
      <c r="N46" s="5">
        <v>0.15909090909090909</v>
      </c>
    </row>
    <row r="47" spans="2:14" x14ac:dyDescent="0.25">
      <c r="C47" s="7" t="s">
        <v>140</v>
      </c>
      <c r="D47" s="7" t="s">
        <v>141</v>
      </c>
      <c r="L47" s="8" t="s">
        <v>53</v>
      </c>
      <c r="M47" s="5">
        <v>1.9667170953101363E-2</v>
      </c>
      <c r="N47" s="5">
        <v>5.6818181818181816E-2</v>
      </c>
    </row>
    <row r="48" spans="2:14" x14ac:dyDescent="0.25">
      <c r="B48" s="8" t="s">
        <v>31</v>
      </c>
      <c r="C48" s="5">
        <v>0.53252647503782147</v>
      </c>
      <c r="D48" s="5">
        <v>0.76136363636363635</v>
      </c>
      <c r="L48" s="8" t="s">
        <v>54</v>
      </c>
      <c r="M48" s="5">
        <v>0.10136157337367625</v>
      </c>
      <c r="N48" s="5">
        <v>1.1363636363636364E-2</v>
      </c>
    </row>
    <row r="49" spans="2:14" x14ac:dyDescent="0.25">
      <c r="B49" s="8" t="s">
        <v>104</v>
      </c>
      <c r="C49" s="5">
        <v>0.18910741301059</v>
      </c>
      <c r="D49" s="5">
        <v>0.375</v>
      </c>
    </row>
    <row r="50" spans="2:14" x14ac:dyDescent="0.25">
      <c r="B50" s="8" t="s">
        <v>32</v>
      </c>
      <c r="C50" s="5">
        <v>0.66868381240544628</v>
      </c>
      <c r="D50" s="5">
        <v>0.80681818181818177</v>
      </c>
      <c r="L50" s="4" t="s">
        <v>165</v>
      </c>
    </row>
    <row r="51" spans="2:14" x14ac:dyDescent="0.25">
      <c r="B51" s="8" t="s">
        <v>33</v>
      </c>
      <c r="C51" s="5">
        <v>4.5385779122541603E-2</v>
      </c>
      <c r="D51" s="5">
        <v>0.22727272727272727</v>
      </c>
      <c r="M51" s="7" t="s">
        <v>140</v>
      </c>
      <c r="N51" s="7" t="s">
        <v>141</v>
      </c>
    </row>
    <row r="52" spans="2:14" x14ac:dyDescent="0.25">
      <c r="B52" s="8" t="s">
        <v>34</v>
      </c>
      <c r="C52" s="5">
        <v>9.3797276853252648E-2</v>
      </c>
      <c r="D52" s="5">
        <v>0.10227272727272728</v>
      </c>
      <c r="L52" s="8" t="s">
        <v>89</v>
      </c>
      <c r="M52" s="5">
        <v>0.56428571428571428</v>
      </c>
      <c r="N52" s="5">
        <v>0.73417721518987344</v>
      </c>
    </row>
    <row r="53" spans="2:14" x14ac:dyDescent="0.25">
      <c r="B53" s="8" t="s">
        <v>35</v>
      </c>
      <c r="C53" s="5">
        <v>8.0181543116490173E-2</v>
      </c>
      <c r="D53" s="5">
        <v>0.10227272727272728</v>
      </c>
      <c r="L53" s="8" t="s">
        <v>91</v>
      </c>
      <c r="M53" s="5">
        <v>0.35714285714285715</v>
      </c>
      <c r="N53" s="5">
        <v>0.20253164556962025</v>
      </c>
    </row>
    <row r="54" spans="2:14" x14ac:dyDescent="0.25">
      <c r="B54" s="8" t="s">
        <v>36</v>
      </c>
      <c r="C54" s="5">
        <v>5.2950075642965201E-2</v>
      </c>
      <c r="D54" s="5">
        <v>4.5454545454545456E-2</v>
      </c>
      <c r="L54" s="8" t="s">
        <v>97</v>
      </c>
      <c r="M54" s="5">
        <v>7.1428571428571425E-2</v>
      </c>
      <c r="N54" s="5">
        <v>5.0632911392405063E-2</v>
      </c>
    </row>
    <row r="55" spans="2:14" x14ac:dyDescent="0.25">
      <c r="B55" s="8" t="s">
        <v>37</v>
      </c>
      <c r="C55" s="5">
        <v>6.8078668683812404E-2</v>
      </c>
      <c r="D55" s="5">
        <v>2.2727272727272728E-2</v>
      </c>
      <c r="L55" s="8" t="s">
        <v>100</v>
      </c>
      <c r="M55" s="5">
        <v>7.1428571428571426E-3</v>
      </c>
      <c r="N55" s="5">
        <v>1.2658227848101266E-2</v>
      </c>
    </row>
    <row r="56" spans="2:14" x14ac:dyDescent="0.25">
      <c r="B56" s="8" t="s">
        <v>38</v>
      </c>
      <c r="C56" s="5">
        <v>6.9591527987897125E-2</v>
      </c>
      <c r="D56" s="5">
        <v>1.1363636363636364E-2</v>
      </c>
    </row>
    <row r="57" spans="2:14" x14ac:dyDescent="0.25">
      <c r="B57" s="8" t="s">
        <v>39</v>
      </c>
      <c r="C57" s="5">
        <v>1.8154311649016642E-2</v>
      </c>
      <c r="D57" s="5">
        <v>1.1363636363636364E-2</v>
      </c>
      <c r="L57" s="4" t="s">
        <v>166</v>
      </c>
    </row>
    <row r="58" spans="2:14" x14ac:dyDescent="0.25">
      <c r="B58" s="8" t="s">
        <v>40</v>
      </c>
      <c r="C58" s="5">
        <v>3.3282904689863842E-2</v>
      </c>
      <c r="D58" s="5">
        <v>4.5454545454545456E-2</v>
      </c>
      <c r="M58" s="7" t="s">
        <v>140</v>
      </c>
      <c r="N58" s="7" t="s">
        <v>141</v>
      </c>
    </row>
    <row r="59" spans="2:14" x14ac:dyDescent="0.25">
      <c r="B59" s="8" t="s">
        <v>41</v>
      </c>
      <c r="C59" s="5">
        <v>0.11346444780635401</v>
      </c>
      <c r="D59" s="5">
        <v>1.1363636363636364E-2</v>
      </c>
      <c r="L59" s="8" t="s">
        <v>62</v>
      </c>
      <c r="M59" s="5">
        <v>0.17857142857142858</v>
      </c>
      <c r="N59" s="5">
        <v>0.379746835443038</v>
      </c>
    </row>
    <row r="60" spans="2:14" x14ac:dyDescent="0.25">
      <c r="L60" s="8" t="s">
        <v>63</v>
      </c>
      <c r="M60" s="5">
        <v>0.10357142857142858</v>
      </c>
      <c r="N60" s="5">
        <v>0.189873417721519</v>
      </c>
    </row>
    <row r="61" spans="2:14" x14ac:dyDescent="0.25">
      <c r="B61" s="4" t="s">
        <v>167</v>
      </c>
      <c r="L61" s="8" t="s">
        <v>64</v>
      </c>
      <c r="M61" s="5">
        <v>1.7857142857142856E-2</v>
      </c>
      <c r="N61" s="5">
        <v>6.3291139240506333E-2</v>
      </c>
    </row>
    <row r="62" spans="2:14" x14ac:dyDescent="0.25">
      <c r="C62" s="7" t="s">
        <v>140</v>
      </c>
      <c r="D62" s="7" t="s">
        <v>141</v>
      </c>
      <c r="L62" s="8" t="s">
        <v>65</v>
      </c>
      <c r="M62" s="5">
        <v>0.36428571428571427</v>
      </c>
      <c r="N62" s="5">
        <v>0.69620253164556967</v>
      </c>
    </row>
    <row r="63" spans="2:14" x14ac:dyDescent="0.25">
      <c r="B63" s="8" t="s">
        <v>12</v>
      </c>
      <c r="C63" s="5">
        <v>0.42360060514372161</v>
      </c>
      <c r="D63" s="5">
        <v>0.89772727272727271</v>
      </c>
      <c r="L63" s="8" t="s">
        <v>66</v>
      </c>
      <c r="M63" s="5">
        <v>0.27500000000000002</v>
      </c>
      <c r="N63" s="5">
        <v>0.4050632911392405</v>
      </c>
    </row>
    <row r="64" spans="2:14" x14ac:dyDescent="0.25">
      <c r="B64" s="8" t="s">
        <v>92</v>
      </c>
      <c r="C64" s="5">
        <v>0.57639939485627834</v>
      </c>
      <c r="D64" s="5">
        <v>0.10227272727272728</v>
      </c>
      <c r="L64" s="8" t="s">
        <v>67</v>
      </c>
      <c r="M64" s="5">
        <v>0.28928571428571431</v>
      </c>
      <c r="N64" s="5">
        <v>0.36708860759493672</v>
      </c>
    </row>
    <row r="65" spans="2:14" x14ac:dyDescent="0.25">
      <c r="L65" s="8" t="s">
        <v>68</v>
      </c>
      <c r="M65" s="5">
        <v>2.8571428571428571E-2</v>
      </c>
      <c r="N65" s="5">
        <v>1.2658227848101266E-2</v>
      </c>
    </row>
    <row r="66" spans="2:14" x14ac:dyDescent="0.25">
      <c r="B66" s="4" t="s">
        <v>168</v>
      </c>
      <c r="L66" s="8" t="s">
        <v>69</v>
      </c>
      <c r="M66" s="5">
        <v>0.125</v>
      </c>
      <c r="N66" s="5">
        <v>0.24050632911392406</v>
      </c>
    </row>
    <row r="67" spans="2:14" x14ac:dyDescent="0.25">
      <c r="C67" s="7" t="s">
        <v>140</v>
      </c>
      <c r="D67" s="7" t="s">
        <v>141</v>
      </c>
      <c r="L67" s="8" t="s">
        <v>70</v>
      </c>
      <c r="M67" s="5">
        <v>0.13214285714285715</v>
      </c>
      <c r="N67" s="5">
        <v>0.21518987341772153</v>
      </c>
    </row>
    <row r="68" spans="2:14" x14ac:dyDescent="0.25">
      <c r="B68" s="8" t="s">
        <v>55</v>
      </c>
      <c r="C68" s="5">
        <v>0.43571428571428572</v>
      </c>
      <c r="D68" s="5">
        <v>0.569620253164557</v>
      </c>
      <c r="L68" s="8" t="s">
        <v>71</v>
      </c>
      <c r="M68" s="5">
        <v>0.10357142857142858</v>
      </c>
      <c r="N68" s="5">
        <v>0.11392405063291139</v>
      </c>
    </row>
    <row r="69" spans="2:14" x14ac:dyDescent="0.25">
      <c r="B69" s="8" t="s">
        <v>56</v>
      </c>
      <c r="C69" s="5">
        <v>5.3571428571428568E-2</v>
      </c>
      <c r="D69" s="5">
        <v>3.7974683544303799E-2</v>
      </c>
      <c r="L69" s="8" t="s">
        <v>72</v>
      </c>
      <c r="M69" s="5">
        <v>0.38928571428571429</v>
      </c>
      <c r="N69" s="5">
        <v>0.12658227848101267</v>
      </c>
    </row>
    <row r="70" spans="2:14" x14ac:dyDescent="0.25">
      <c r="B70" s="8" t="s">
        <v>57</v>
      </c>
      <c r="C70" s="5">
        <v>0.5714285714285714</v>
      </c>
      <c r="D70" s="5">
        <v>0.810126582278481</v>
      </c>
      <c r="L70" s="8" t="s">
        <v>54</v>
      </c>
      <c r="M70" s="5">
        <v>3.5714285714285712E-2</v>
      </c>
      <c r="N70" s="5">
        <v>0</v>
      </c>
    </row>
    <row r="71" spans="2:14" x14ac:dyDescent="0.25">
      <c r="B71" s="8" t="s">
        <v>58</v>
      </c>
      <c r="C71" s="5">
        <v>0.18214285714285713</v>
      </c>
      <c r="D71" s="5">
        <v>0.24050632911392406</v>
      </c>
    </row>
    <row r="72" spans="2:14" x14ac:dyDescent="0.25">
      <c r="B72" s="8" t="s">
        <v>54</v>
      </c>
      <c r="C72" s="5">
        <v>1.7857142857142856E-2</v>
      </c>
      <c r="D72" s="5">
        <v>0</v>
      </c>
    </row>
    <row r="73" spans="2:14" x14ac:dyDescent="0.25">
      <c r="B73" s="8" t="s">
        <v>59</v>
      </c>
      <c r="C73" s="5">
        <v>0.38571428571428568</v>
      </c>
      <c r="D73" s="5">
        <v>0.16455696202531644</v>
      </c>
    </row>
    <row r="74" spans="2:14" x14ac:dyDescent="0.25">
      <c r="B74" s="8" t="s">
        <v>60</v>
      </c>
      <c r="C74" s="5">
        <v>0.27857142857142858</v>
      </c>
      <c r="D74" s="5">
        <v>0.39240506329113922</v>
      </c>
    </row>
    <row r="75" spans="2:14" x14ac:dyDescent="0.25">
      <c r="B75" s="8" t="s">
        <v>61</v>
      </c>
      <c r="C75" s="5">
        <v>0.23214285714285715</v>
      </c>
      <c r="D75" s="5">
        <v>6.3291139240506333E-2</v>
      </c>
    </row>
    <row r="77" spans="2:14" ht="18.75" x14ac:dyDescent="0.3">
      <c r="B77" s="14" t="s">
        <v>170</v>
      </c>
      <c r="C77" s="11"/>
      <c r="D77" s="11"/>
    </row>
    <row r="79" spans="2:14" x14ac:dyDescent="0.25">
      <c r="B79" s="4" t="s">
        <v>158</v>
      </c>
      <c r="L79" s="4" t="s">
        <v>173</v>
      </c>
    </row>
    <row r="80" spans="2:14" x14ac:dyDescent="0.25">
      <c r="C80" s="7" t="s">
        <v>140</v>
      </c>
      <c r="D80" s="7" t="s">
        <v>141</v>
      </c>
      <c r="M80" s="7" t="s">
        <v>140</v>
      </c>
      <c r="N80" s="7" t="s">
        <v>141</v>
      </c>
    </row>
    <row r="81" spans="2:14" x14ac:dyDescent="0.25">
      <c r="B81" s="8" t="s">
        <v>103</v>
      </c>
      <c r="C81" s="5">
        <v>0.27556818181818182</v>
      </c>
      <c r="D81" s="5">
        <v>0.64516129032258063</v>
      </c>
      <c r="L81" s="8" t="s">
        <v>12</v>
      </c>
      <c r="M81" s="5">
        <v>0.33476394849785407</v>
      </c>
      <c r="N81" s="5">
        <v>0.7931034482758621</v>
      </c>
    </row>
    <row r="82" spans="2:14" x14ac:dyDescent="0.25">
      <c r="B82" s="8" t="s">
        <v>93</v>
      </c>
      <c r="C82" s="5">
        <v>0.55113636363636365</v>
      </c>
      <c r="D82" s="5">
        <v>0.32258064516129031</v>
      </c>
      <c r="L82" s="8" t="s">
        <v>92</v>
      </c>
      <c r="M82" s="5">
        <v>0.66523605150214593</v>
      </c>
      <c r="N82" s="5">
        <v>0.20689655172413793</v>
      </c>
    </row>
    <row r="83" spans="2:14" x14ac:dyDescent="0.25">
      <c r="B83" s="8" t="s">
        <v>90</v>
      </c>
      <c r="C83" s="5">
        <v>0.17329545454545456</v>
      </c>
      <c r="D83" s="5">
        <v>3.2258064516129031E-2</v>
      </c>
    </row>
    <row r="84" spans="2:14" x14ac:dyDescent="0.25">
      <c r="L84" s="15" t="s">
        <v>175</v>
      </c>
    </row>
    <row r="85" spans="2:14" x14ac:dyDescent="0.25">
      <c r="B85" s="4" t="s">
        <v>174</v>
      </c>
      <c r="M85" s="7" t="s">
        <v>140</v>
      </c>
      <c r="N85" s="7" t="s">
        <v>141</v>
      </c>
    </row>
    <row r="86" spans="2:14" x14ac:dyDescent="0.25">
      <c r="C86" s="7" t="s">
        <v>140</v>
      </c>
      <c r="D86" s="7" t="s">
        <v>141</v>
      </c>
      <c r="L86" s="8" t="s">
        <v>12</v>
      </c>
      <c r="M86" s="5">
        <v>0.29749103942652327</v>
      </c>
      <c r="N86" s="5">
        <v>0.80701754385964908</v>
      </c>
    </row>
    <row r="87" spans="2:14" x14ac:dyDescent="0.25">
      <c r="B87" s="8" t="s">
        <v>12</v>
      </c>
      <c r="C87" s="5">
        <v>0.29770992366412213</v>
      </c>
      <c r="D87" s="5">
        <v>0.77966101694915257</v>
      </c>
      <c r="L87" s="8" t="s">
        <v>13</v>
      </c>
      <c r="M87" s="5">
        <v>0.63440860215053763</v>
      </c>
      <c r="N87" s="5">
        <v>0.17543859649122806</v>
      </c>
    </row>
    <row r="88" spans="2:14" x14ac:dyDescent="0.25">
      <c r="B88" s="8" t="s">
        <v>92</v>
      </c>
      <c r="C88" s="5">
        <v>0.70229007633587781</v>
      </c>
      <c r="D88" s="5">
        <v>0.22033898305084745</v>
      </c>
      <c r="L88" s="8" t="s">
        <v>131</v>
      </c>
      <c r="M88" s="5">
        <v>6.8100358422939072E-2</v>
      </c>
      <c r="N88" s="5">
        <v>1.7543859649122806E-2</v>
      </c>
    </row>
    <row r="90" spans="2:14" x14ac:dyDescent="0.25">
      <c r="B90" s="4" t="s">
        <v>176</v>
      </c>
    </row>
    <row r="91" spans="2:14" x14ac:dyDescent="0.25">
      <c r="C91" s="7" t="s">
        <v>140</v>
      </c>
      <c r="D91" s="7" t="s">
        <v>141</v>
      </c>
    </row>
    <row r="92" spans="2:14" x14ac:dyDescent="0.25">
      <c r="B92" s="8" t="s">
        <v>132</v>
      </c>
      <c r="C92" s="5">
        <v>8.8803088803088806E-2</v>
      </c>
      <c r="D92" s="5">
        <v>0.21818181818181817</v>
      </c>
    </row>
    <row r="93" spans="2:14" x14ac:dyDescent="0.25">
      <c r="B93" s="8" t="s">
        <v>137</v>
      </c>
      <c r="C93" s="5">
        <v>1.1583011583011582E-2</v>
      </c>
      <c r="D93" s="5">
        <v>3.6363636363636362E-2</v>
      </c>
    </row>
    <row r="94" spans="2:14" x14ac:dyDescent="0.25">
      <c r="B94" s="8" t="s">
        <v>128</v>
      </c>
      <c r="C94" s="5">
        <v>8.8803088803088806E-2</v>
      </c>
      <c r="D94" s="5">
        <v>0.2</v>
      </c>
    </row>
    <row r="95" spans="2:14" x14ac:dyDescent="0.25">
      <c r="B95" s="8" t="s">
        <v>126</v>
      </c>
      <c r="C95" s="5">
        <v>0.13127413127413126</v>
      </c>
      <c r="D95" s="5">
        <v>0.27272727272727271</v>
      </c>
    </row>
    <row r="96" spans="2:14" x14ac:dyDescent="0.25">
      <c r="B96" s="8" t="s">
        <v>133</v>
      </c>
      <c r="C96" s="5">
        <v>5.7915057915057917E-2</v>
      </c>
      <c r="D96" s="5">
        <v>5.4545454545454543E-2</v>
      </c>
    </row>
    <row r="97" spans="2:14" x14ac:dyDescent="0.25">
      <c r="B97" s="8" t="s">
        <v>11</v>
      </c>
      <c r="C97" s="5">
        <v>0.61389961389961389</v>
      </c>
      <c r="D97" s="5">
        <v>0.21818181818181817</v>
      </c>
    </row>
    <row r="98" spans="2:14" x14ac:dyDescent="0.25">
      <c r="B98" s="8" t="s">
        <v>10</v>
      </c>
      <c r="C98" s="5">
        <v>7.7220077220077222E-3</v>
      </c>
      <c r="D98" s="5">
        <v>0</v>
      </c>
    </row>
    <row r="100" spans="2:14" ht="18.75" x14ac:dyDescent="0.3">
      <c r="B100" s="14" t="s">
        <v>171</v>
      </c>
    </row>
    <row r="101" spans="2:14" ht="18.75" x14ac:dyDescent="0.3">
      <c r="B101" s="14"/>
    </row>
    <row r="102" spans="2:14" x14ac:dyDescent="0.25">
      <c r="B102" s="4" t="s">
        <v>159</v>
      </c>
      <c r="L102" s="4" t="s">
        <v>179</v>
      </c>
    </row>
    <row r="103" spans="2:14" x14ac:dyDescent="0.25">
      <c r="C103" s="7" t="s">
        <v>140</v>
      </c>
      <c r="D103" s="7" t="s">
        <v>141</v>
      </c>
      <c r="M103" s="7" t="s">
        <v>140</v>
      </c>
      <c r="N103" s="7" t="s">
        <v>141</v>
      </c>
    </row>
    <row r="104" spans="2:14" x14ac:dyDescent="0.25">
      <c r="B104" s="8" t="s">
        <v>102</v>
      </c>
      <c r="C104" s="5">
        <v>0.18465909090909091</v>
      </c>
      <c r="D104" s="5">
        <v>0.43548387096774194</v>
      </c>
      <c r="L104" s="8" t="s">
        <v>12</v>
      </c>
      <c r="M104" s="5">
        <v>0.14232209737827714</v>
      </c>
      <c r="N104" s="5">
        <v>0.48076923076923078</v>
      </c>
    </row>
    <row r="105" spans="2:14" x14ac:dyDescent="0.25">
      <c r="B105" s="8" t="s">
        <v>101</v>
      </c>
      <c r="C105" s="5">
        <v>0.30397727272727271</v>
      </c>
      <c r="D105" s="5">
        <v>0.14516129032258066</v>
      </c>
      <c r="L105" s="8" t="s">
        <v>92</v>
      </c>
      <c r="M105" s="5">
        <v>0.85767790262172283</v>
      </c>
      <c r="N105" s="5">
        <v>0.51923076923076927</v>
      </c>
    </row>
    <row r="106" spans="2:14" x14ac:dyDescent="0.25">
      <c r="B106" s="8" t="s">
        <v>90</v>
      </c>
      <c r="C106" s="5">
        <v>0.51136363636363635</v>
      </c>
      <c r="D106" s="5">
        <v>0.41935483870967744</v>
      </c>
    </row>
    <row r="107" spans="2:14" x14ac:dyDescent="0.25">
      <c r="L107" s="15" t="s">
        <v>177</v>
      </c>
    </row>
    <row r="108" spans="2:14" x14ac:dyDescent="0.25">
      <c r="B108" s="4" t="s">
        <v>180</v>
      </c>
      <c r="M108" s="7" t="s">
        <v>140</v>
      </c>
      <c r="N108" s="7" t="s">
        <v>141</v>
      </c>
    </row>
    <row r="109" spans="2:14" x14ac:dyDescent="0.25">
      <c r="C109" s="7" t="s">
        <v>140</v>
      </c>
      <c r="D109" s="7" t="s">
        <v>141</v>
      </c>
      <c r="L109" s="8" t="s">
        <v>12</v>
      </c>
      <c r="M109" s="5">
        <v>0.15720524017467249</v>
      </c>
      <c r="N109" s="5">
        <v>0.83870967741935487</v>
      </c>
    </row>
    <row r="110" spans="2:14" x14ac:dyDescent="0.25">
      <c r="B110" s="8" t="s">
        <v>12</v>
      </c>
      <c r="C110" s="5">
        <v>0.1542056074766355</v>
      </c>
      <c r="D110" s="5">
        <v>0.71875</v>
      </c>
      <c r="L110" s="8" t="s">
        <v>13</v>
      </c>
      <c r="M110" s="5">
        <v>2.1834061135371178E-2</v>
      </c>
      <c r="N110" s="5">
        <v>0</v>
      </c>
    </row>
    <row r="111" spans="2:14" x14ac:dyDescent="0.25">
      <c r="B111" s="8" t="s">
        <v>92</v>
      </c>
      <c r="C111" s="5">
        <v>0.84579439252336452</v>
      </c>
      <c r="D111" s="5">
        <v>0.28125</v>
      </c>
      <c r="L111" s="8" t="s">
        <v>131</v>
      </c>
      <c r="M111" s="5">
        <v>0.82096069868995636</v>
      </c>
      <c r="N111" s="5">
        <v>0.16129032258064516</v>
      </c>
    </row>
    <row r="113" spans="2:14" x14ac:dyDescent="0.25">
      <c r="B113" s="4" t="s">
        <v>178</v>
      </c>
    </row>
    <row r="114" spans="2:14" x14ac:dyDescent="0.25">
      <c r="C114" s="7" t="s">
        <v>140</v>
      </c>
      <c r="D114" s="7" t="s">
        <v>141</v>
      </c>
    </row>
    <row r="115" spans="2:14" x14ac:dyDescent="0.25">
      <c r="B115" s="8" t="s">
        <v>130</v>
      </c>
      <c r="C115" s="5">
        <v>2.7237354085603113E-2</v>
      </c>
      <c r="D115" s="5">
        <v>0.1</v>
      </c>
    </row>
    <row r="116" spans="2:14" x14ac:dyDescent="0.25">
      <c r="B116" s="8" t="s">
        <v>139</v>
      </c>
      <c r="C116" s="5">
        <v>3.8910505836575876E-3</v>
      </c>
      <c r="D116" s="5">
        <v>0.02</v>
      </c>
    </row>
    <row r="117" spans="2:14" x14ac:dyDescent="0.25">
      <c r="B117" s="8" t="s">
        <v>128</v>
      </c>
      <c r="C117" s="5">
        <v>3.5019455252918288E-2</v>
      </c>
      <c r="D117" s="5">
        <v>0.04</v>
      </c>
    </row>
    <row r="118" spans="2:14" x14ac:dyDescent="0.25">
      <c r="B118" s="8" t="s">
        <v>127</v>
      </c>
      <c r="C118" s="5">
        <v>8.171206225680934E-2</v>
      </c>
      <c r="D118" s="5">
        <v>0.28000000000000003</v>
      </c>
    </row>
    <row r="119" spans="2:14" x14ac:dyDescent="0.25">
      <c r="B119" s="8" t="s">
        <v>129</v>
      </c>
      <c r="C119" s="5">
        <v>1.9455252918287938E-2</v>
      </c>
      <c r="D119" s="5">
        <v>0.06</v>
      </c>
    </row>
    <row r="120" spans="2:14" x14ac:dyDescent="0.25">
      <c r="B120" s="8" t="s">
        <v>11</v>
      </c>
      <c r="C120" s="5">
        <v>0.82490272373540852</v>
      </c>
      <c r="D120" s="5">
        <v>0.5</v>
      </c>
    </row>
    <row r="121" spans="2:14" x14ac:dyDescent="0.25">
      <c r="B121" s="8" t="s">
        <v>10</v>
      </c>
      <c r="C121" s="5">
        <v>7.7821011673151752E-3</v>
      </c>
      <c r="D121" s="5">
        <v>0</v>
      </c>
    </row>
    <row r="123" spans="2:14" ht="18.75" x14ac:dyDescent="0.3">
      <c r="B123" s="14" t="s">
        <v>172</v>
      </c>
    </row>
    <row r="124" spans="2:14" ht="18.75" x14ac:dyDescent="0.3">
      <c r="B124" s="14"/>
    </row>
    <row r="125" spans="2:14" x14ac:dyDescent="0.25">
      <c r="B125" s="4" t="s">
        <v>160</v>
      </c>
      <c r="L125" s="4" t="s">
        <v>181</v>
      </c>
    </row>
    <row r="126" spans="2:14" x14ac:dyDescent="0.25">
      <c r="C126" s="7" t="s">
        <v>140</v>
      </c>
      <c r="D126" s="7" t="s">
        <v>141</v>
      </c>
      <c r="M126" s="7" t="s">
        <v>140</v>
      </c>
      <c r="N126" s="7" t="s">
        <v>141</v>
      </c>
    </row>
    <row r="127" spans="2:14" x14ac:dyDescent="0.25">
      <c r="B127" s="8" t="s">
        <v>99</v>
      </c>
      <c r="C127" s="5">
        <v>0.75728155339805825</v>
      </c>
      <c r="D127" s="5">
        <v>1</v>
      </c>
      <c r="L127" s="8" t="s">
        <v>12</v>
      </c>
      <c r="M127" s="5">
        <v>0.28508771929824561</v>
      </c>
      <c r="N127" s="5">
        <v>0.88461538461538458</v>
      </c>
    </row>
    <row r="128" spans="2:14" x14ac:dyDescent="0.25">
      <c r="B128" s="8" t="s">
        <v>90</v>
      </c>
      <c r="C128" s="5">
        <v>0.24271844660194175</v>
      </c>
      <c r="D128" s="5">
        <v>0</v>
      </c>
      <c r="L128" s="8" t="s">
        <v>92</v>
      </c>
      <c r="M128" s="5">
        <v>0.71491228070175439</v>
      </c>
      <c r="N128" s="5">
        <v>0.11538461538461539</v>
      </c>
    </row>
    <row r="131" spans="2:14" x14ac:dyDescent="0.25">
      <c r="B131" s="4" t="s">
        <v>182</v>
      </c>
      <c r="L131" s="15" t="s">
        <v>177</v>
      </c>
    </row>
    <row r="132" spans="2:14" x14ac:dyDescent="0.25">
      <c r="C132" s="7" t="s">
        <v>140</v>
      </c>
      <c r="D132" s="7" t="s">
        <v>141</v>
      </c>
      <c r="M132" s="7" t="s">
        <v>140</v>
      </c>
      <c r="N132" s="7" t="s">
        <v>141</v>
      </c>
    </row>
    <row r="133" spans="2:14" x14ac:dyDescent="0.25">
      <c r="B133" s="8" t="s">
        <v>12</v>
      </c>
      <c r="C133" s="5">
        <v>0.28934010152284262</v>
      </c>
      <c r="D133" s="5">
        <v>0.84615384615384615</v>
      </c>
      <c r="L133" s="8" t="s">
        <v>12</v>
      </c>
      <c r="M133" s="5">
        <v>0.33689839572192515</v>
      </c>
      <c r="N133" s="5">
        <v>0.95833333333333337</v>
      </c>
    </row>
    <row r="134" spans="2:14" x14ac:dyDescent="0.25">
      <c r="B134" s="8" t="s">
        <v>92</v>
      </c>
      <c r="C134" s="5">
        <v>0.71065989847715738</v>
      </c>
      <c r="D134" s="5">
        <v>0.15384615384615385</v>
      </c>
      <c r="L134" s="8" t="s">
        <v>13</v>
      </c>
      <c r="M134" s="5">
        <v>1.6042780748663103E-2</v>
      </c>
      <c r="N134" s="5">
        <v>0</v>
      </c>
    </row>
    <row r="135" spans="2:14" x14ac:dyDescent="0.25">
      <c r="L135" s="8" t="s">
        <v>131</v>
      </c>
      <c r="M135" s="5">
        <v>0.6470588235294118</v>
      </c>
      <c r="N135" s="5">
        <v>4.1666666666666664E-2</v>
      </c>
    </row>
    <row r="136" spans="2:14" x14ac:dyDescent="0.25">
      <c r="B136" s="4" t="s">
        <v>183</v>
      </c>
    </row>
    <row r="137" spans="2:14" x14ac:dyDescent="0.25">
      <c r="C137" s="7" t="s">
        <v>140</v>
      </c>
      <c r="D137" s="7" t="s">
        <v>141</v>
      </c>
    </row>
    <row r="138" spans="2:14" x14ac:dyDescent="0.25">
      <c r="B138" s="8" t="s">
        <v>134</v>
      </c>
      <c r="C138" s="5">
        <v>6.5040650406504072E-2</v>
      </c>
      <c r="D138" s="5">
        <v>0.41666666666666669</v>
      </c>
    </row>
    <row r="139" spans="2:14" x14ac:dyDescent="0.25">
      <c r="B139" s="8" t="s">
        <v>138</v>
      </c>
      <c r="C139" s="5">
        <v>8.130081300813009E-3</v>
      </c>
      <c r="D139" s="5">
        <v>4.1666666666666664E-2</v>
      </c>
    </row>
    <row r="140" spans="2:14" x14ac:dyDescent="0.25">
      <c r="B140" s="8" t="s">
        <v>135</v>
      </c>
      <c r="C140" s="5">
        <v>0.23577235772357724</v>
      </c>
      <c r="D140" s="5">
        <v>0.125</v>
      </c>
    </row>
    <row r="141" spans="2:14" x14ac:dyDescent="0.25">
      <c r="B141" s="8" t="s">
        <v>128</v>
      </c>
      <c r="C141" s="5">
        <v>0.1951219512195122</v>
      </c>
      <c r="D141" s="5">
        <v>0.125</v>
      </c>
    </row>
    <row r="142" spans="2:14" x14ac:dyDescent="0.25">
      <c r="B142" s="8" t="s">
        <v>136</v>
      </c>
      <c r="C142" s="5">
        <v>2.4390243902439025E-2</v>
      </c>
      <c r="D142" s="5">
        <v>0.25</v>
      </c>
    </row>
    <row r="143" spans="2:14" x14ac:dyDescent="0.25">
      <c r="B143" s="8" t="s">
        <v>11</v>
      </c>
      <c r="C143" s="5">
        <v>0.45528455284552843</v>
      </c>
      <c r="D143" s="5">
        <v>4.1666666666666664E-2</v>
      </c>
    </row>
    <row r="144" spans="2:14" x14ac:dyDescent="0.25">
      <c r="B144" s="8" t="s">
        <v>10</v>
      </c>
      <c r="C144" s="5">
        <v>1.6260162601626018E-2</v>
      </c>
      <c r="D144" s="5">
        <v>0</v>
      </c>
    </row>
    <row r="147" spans="2:19" ht="21" x14ac:dyDescent="0.35">
      <c r="B147" s="1" t="s">
        <v>195</v>
      </c>
    </row>
    <row r="149" spans="2:19" x14ac:dyDescent="0.25">
      <c r="L149" s="4" t="s">
        <v>185</v>
      </c>
    </row>
    <row r="150" spans="2:19" x14ac:dyDescent="0.25">
      <c r="B150" s="4" t="s">
        <v>184</v>
      </c>
      <c r="M150" s="21" t="s">
        <v>144</v>
      </c>
      <c r="N150" s="21"/>
      <c r="O150" s="21" t="s">
        <v>145</v>
      </c>
      <c r="P150" s="21"/>
    </row>
    <row r="151" spans="2:19" x14ac:dyDescent="0.25">
      <c r="C151" s="7" t="s">
        <v>140</v>
      </c>
      <c r="D151" s="7" t="s">
        <v>141</v>
      </c>
      <c r="F151" s="7" t="s">
        <v>153</v>
      </c>
      <c r="M151" s="7" t="s">
        <v>140</v>
      </c>
      <c r="N151" s="7" t="s">
        <v>141</v>
      </c>
      <c r="O151" s="7" t="s">
        <v>140</v>
      </c>
      <c r="P151" s="7" t="s">
        <v>141</v>
      </c>
      <c r="R151" s="7" t="s">
        <v>154</v>
      </c>
      <c r="S151" s="7" t="s">
        <v>155</v>
      </c>
    </row>
    <row r="152" spans="2:19" x14ac:dyDescent="0.25">
      <c r="B152" s="8" t="s">
        <v>105</v>
      </c>
      <c r="C152" s="5">
        <v>0.17700453857791226</v>
      </c>
      <c r="D152" s="5">
        <v>0.68181818181818177</v>
      </c>
      <c r="F152" s="13">
        <f>D152-C152</f>
        <v>0.50481364324026945</v>
      </c>
      <c r="L152" s="8" t="s">
        <v>105</v>
      </c>
      <c r="M152" s="5">
        <v>0.80030257186081699</v>
      </c>
      <c r="N152" s="5">
        <v>0.30681818181818177</v>
      </c>
      <c r="O152" s="5">
        <v>2.2692889561270801E-2</v>
      </c>
      <c r="P152" s="5">
        <v>1.1363636363636364E-2</v>
      </c>
      <c r="R152" s="13">
        <f>N152-M152</f>
        <v>-0.49348439004263522</v>
      </c>
      <c r="S152" s="13">
        <f>P152-O152</f>
        <v>-1.1329253197634438E-2</v>
      </c>
    </row>
    <row r="153" spans="2:19" x14ac:dyDescent="0.25">
      <c r="B153" s="8" t="s">
        <v>106</v>
      </c>
      <c r="C153" s="5">
        <v>0.17700453857791226</v>
      </c>
      <c r="D153" s="5">
        <v>0.77272727272727271</v>
      </c>
      <c r="F153" s="13">
        <f t="shared" ref="F153:F161" si="0">D153-C153</f>
        <v>0.5957227341493605</v>
      </c>
      <c r="L153" s="8" t="s">
        <v>106</v>
      </c>
      <c r="M153" s="5">
        <v>0.81089258698940991</v>
      </c>
      <c r="N153" s="5">
        <v>0.22727272727272729</v>
      </c>
      <c r="O153" s="5">
        <v>1.2102874432677761E-2</v>
      </c>
      <c r="P153" s="5">
        <v>0</v>
      </c>
      <c r="R153" s="13">
        <f t="shared" ref="R153:R161" si="1">N153-M153</f>
        <v>-0.58361985971668262</v>
      </c>
      <c r="S153" s="13">
        <f t="shared" ref="S153:S161" si="2">P153-O153</f>
        <v>-1.2102874432677761E-2</v>
      </c>
    </row>
    <row r="154" spans="2:19" x14ac:dyDescent="0.25">
      <c r="B154" s="8" t="s">
        <v>107</v>
      </c>
      <c r="C154" s="5">
        <v>0.291981845688351</v>
      </c>
      <c r="D154" s="5">
        <v>0.73863636363636365</v>
      </c>
      <c r="F154" s="13">
        <f t="shared" si="0"/>
        <v>0.44665451794801264</v>
      </c>
      <c r="L154" s="8" t="s">
        <v>107</v>
      </c>
      <c r="M154" s="5">
        <v>9.6822995461422076E-2</v>
      </c>
      <c r="N154" s="5">
        <v>1.1363636363636364E-2</v>
      </c>
      <c r="O154" s="5">
        <v>0.556732223903177</v>
      </c>
      <c r="P154" s="5">
        <v>0.23863636363636362</v>
      </c>
      <c r="R154" s="13">
        <f t="shared" si="1"/>
        <v>-8.5459359097785709E-2</v>
      </c>
      <c r="S154" s="13">
        <f t="shared" si="2"/>
        <v>-0.31809586026681336</v>
      </c>
    </row>
    <row r="155" spans="2:19" x14ac:dyDescent="0.25">
      <c r="B155" s="8" t="s">
        <v>108</v>
      </c>
      <c r="C155" s="5">
        <v>0.61119515885022691</v>
      </c>
      <c r="D155" s="5">
        <v>0.82954545454545459</v>
      </c>
      <c r="F155" s="13">
        <f t="shared" si="0"/>
        <v>0.21835029569522768</v>
      </c>
      <c r="L155" s="8" t="s">
        <v>108</v>
      </c>
      <c r="M155" s="5">
        <v>0.2193645990922844</v>
      </c>
      <c r="N155" s="5">
        <v>0.11363636363636363</v>
      </c>
      <c r="O155" s="5">
        <v>0.15582450832072617</v>
      </c>
      <c r="P155" s="5">
        <v>5.6818181818181816E-2</v>
      </c>
      <c r="R155" s="13">
        <f t="shared" si="1"/>
        <v>-0.10572823545592076</v>
      </c>
      <c r="S155" s="13">
        <f t="shared" si="2"/>
        <v>-9.9006326502544345E-2</v>
      </c>
    </row>
    <row r="156" spans="2:19" x14ac:dyDescent="0.25">
      <c r="B156" s="8" t="s">
        <v>109</v>
      </c>
      <c r="C156" s="5">
        <v>0.5249621785173979</v>
      </c>
      <c r="D156" s="5">
        <v>0.85227272727272729</v>
      </c>
      <c r="F156" s="13">
        <f t="shared" si="0"/>
        <v>0.32731054875532939</v>
      </c>
      <c r="L156" s="8" t="s">
        <v>109</v>
      </c>
      <c r="M156" s="5">
        <v>0.40544629349470501</v>
      </c>
      <c r="N156" s="5">
        <v>0.125</v>
      </c>
      <c r="O156" s="5">
        <v>1.9667170953101363E-2</v>
      </c>
      <c r="P156" s="5">
        <v>1.1363636363636364E-2</v>
      </c>
      <c r="R156" s="13">
        <f t="shared" si="1"/>
        <v>-0.28044629349470501</v>
      </c>
      <c r="S156" s="13">
        <f t="shared" si="2"/>
        <v>-8.3035345894649989E-3</v>
      </c>
    </row>
    <row r="157" spans="2:19" x14ac:dyDescent="0.25">
      <c r="B157" s="8" t="s">
        <v>110</v>
      </c>
      <c r="C157" s="5">
        <v>0.14826021180030258</v>
      </c>
      <c r="D157" s="5">
        <v>0.71590909090909094</v>
      </c>
      <c r="F157" s="13">
        <f t="shared" si="0"/>
        <v>0.56764887910878836</v>
      </c>
      <c r="L157" s="8" t="s">
        <v>110</v>
      </c>
      <c r="M157" s="5">
        <v>0.83812405446293492</v>
      </c>
      <c r="N157" s="5">
        <v>0.25</v>
      </c>
      <c r="O157" s="5">
        <v>1.3615733736762482E-2</v>
      </c>
      <c r="P157" s="5">
        <v>3.4090909090909088E-2</v>
      </c>
      <c r="R157" s="13">
        <f t="shared" si="1"/>
        <v>-0.58812405446293492</v>
      </c>
      <c r="S157" s="13">
        <f t="shared" si="2"/>
        <v>2.0475175354146606E-2</v>
      </c>
    </row>
    <row r="158" spans="2:19" x14ac:dyDescent="0.25">
      <c r="B158" s="8" t="s">
        <v>111</v>
      </c>
      <c r="C158" s="5">
        <v>0.29803328290468989</v>
      </c>
      <c r="D158" s="5">
        <v>0.79545454545454541</v>
      </c>
      <c r="F158" s="13">
        <f t="shared" si="0"/>
        <v>0.49742126254985553</v>
      </c>
      <c r="L158" s="8" t="s">
        <v>111</v>
      </c>
      <c r="M158" s="5">
        <v>0.68381240544629351</v>
      </c>
      <c r="N158" s="5">
        <v>0.17045454545454544</v>
      </c>
      <c r="O158" s="5">
        <v>1.5128593040847202E-2</v>
      </c>
      <c r="P158" s="5">
        <v>3.4090909090909088E-2</v>
      </c>
      <c r="R158" s="13">
        <f t="shared" si="1"/>
        <v>-0.5133578599917481</v>
      </c>
      <c r="S158" s="13">
        <f t="shared" si="2"/>
        <v>1.8962316050061885E-2</v>
      </c>
    </row>
    <row r="159" spans="2:19" x14ac:dyDescent="0.25">
      <c r="B159" s="8" t="s">
        <v>112</v>
      </c>
      <c r="C159" s="5">
        <v>0.20574886535552195</v>
      </c>
      <c r="D159" s="5">
        <v>0.73863636363636365</v>
      </c>
      <c r="F159" s="13">
        <f t="shared" si="0"/>
        <v>0.5328874982808417</v>
      </c>
      <c r="L159" s="8" t="s">
        <v>112</v>
      </c>
      <c r="M159" s="5">
        <v>0.78819969742813911</v>
      </c>
      <c r="N159" s="5">
        <v>0.25</v>
      </c>
      <c r="O159" s="5">
        <v>6.0514372163388806E-3</v>
      </c>
      <c r="P159" s="5">
        <v>1.1363636363636364E-2</v>
      </c>
      <c r="R159" s="13">
        <f t="shared" si="1"/>
        <v>-0.53819969742813911</v>
      </c>
      <c r="S159" s="13">
        <f t="shared" si="2"/>
        <v>5.3121991472974833E-3</v>
      </c>
    </row>
    <row r="160" spans="2:19" x14ac:dyDescent="0.25">
      <c r="B160" s="8" t="s">
        <v>113</v>
      </c>
      <c r="C160" s="5">
        <v>0.18608169440242056</v>
      </c>
      <c r="D160" s="5">
        <v>0.69318181818181823</v>
      </c>
      <c r="F160" s="13">
        <f t="shared" si="0"/>
        <v>0.50710012377939773</v>
      </c>
      <c r="L160" s="8" t="s">
        <v>113</v>
      </c>
      <c r="M160" s="5">
        <v>8.169440242057488E-2</v>
      </c>
      <c r="N160" s="5">
        <v>0</v>
      </c>
      <c r="O160" s="5">
        <v>0.73222390317700459</v>
      </c>
      <c r="P160" s="5">
        <v>0.30681818181818182</v>
      </c>
      <c r="R160" s="13">
        <f t="shared" si="1"/>
        <v>-8.169440242057488E-2</v>
      </c>
      <c r="S160" s="13">
        <f t="shared" si="2"/>
        <v>-0.42540572135882276</v>
      </c>
    </row>
    <row r="161" spans="2:19" x14ac:dyDescent="0.25">
      <c r="B161" s="8" t="s">
        <v>114</v>
      </c>
      <c r="C161" s="5">
        <v>0.3328290468986384</v>
      </c>
      <c r="D161" s="5">
        <v>0.79545454545454541</v>
      </c>
      <c r="F161" s="13">
        <f t="shared" si="0"/>
        <v>0.46262549855590701</v>
      </c>
      <c r="L161" s="8" t="s">
        <v>114</v>
      </c>
      <c r="M161" s="5">
        <v>0.65658093797276851</v>
      </c>
      <c r="N161" s="5">
        <v>0.20454545454545453</v>
      </c>
      <c r="O161" s="5">
        <v>7.5642965204236008E-3</v>
      </c>
      <c r="P161" s="5">
        <v>7.5642965204236008E-3</v>
      </c>
      <c r="R161" s="13">
        <f t="shared" si="1"/>
        <v>-0.45203548342731398</v>
      </c>
      <c r="S161" s="13">
        <f t="shared" si="2"/>
        <v>0</v>
      </c>
    </row>
    <row r="163" spans="2:19" x14ac:dyDescent="0.25">
      <c r="L163" s="4" t="s">
        <v>187</v>
      </c>
    </row>
    <row r="164" spans="2:19" x14ac:dyDescent="0.25">
      <c r="B164" s="4" t="s">
        <v>186</v>
      </c>
      <c r="M164" s="21" t="s">
        <v>191</v>
      </c>
      <c r="N164" s="21"/>
      <c r="O164" s="21" t="s">
        <v>192</v>
      </c>
      <c r="P164" s="21"/>
    </row>
    <row r="165" spans="2:19" x14ac:dyDescent="0.25">
      <c r="C165" s="7" t="s">
        <v>140</v>
      </c>
      <c r="D165" s="7" t="s">
        <v>141</v>
      </c>
      <c r="F165" s="7" t="s">
        <v>153</v>
      </c>
      <c r="M165" s="7" t="s">
        <v>140</v>
      </c>
      <c r="N165" s="7" t="s">
        <v>141</v>
      </c>
      <c r="O165" s="7" t="s">
        <v>140</v>
      </c>
      <c r="P165" s="7" t="s">
        <v>141</v>
      </c>
      <c r="R165" s="7" t="s">
        <v>154</v>
      </c>
      <c r="S165" s="7" t="s">
        <v>155</v>
      </c>
    </row>
    <row r="166" spans="2:19" x14ac:dyDescent="0.25">
      <c r="B166" s="8" t="s">
        <v>105</v>
      </c>
      <c r="C166" s="5">
        <v>0.14977307110438728</v>
      </c>
      <c r="D166" s="5">
        <v>0.625</v>
      </c>
      <c r="F166" s="13">
        <f>D166-C166</f>
        <v>0.47522692889561269</v>
      </c>
      <c r="L166" s="8" t="s">
        <v>105</v>
      </c>
      <c r="M166" s="5">
        <v>3.4795763993948563E-2</v>
      </c>
      <c r="N166" s="5">
        <v>1.1363636363636364E-2</v>
      </c>
      <c r="O166" s="5">
        <v>0.55824508320726174</v>
      </c>
      <c r="P166" s="5">
        <v>0.13636363636363635</v>
      </c>
      <c r="R166" s="13">
        <f>N166-M166</f>
        <v>-2.3432127630312199E-2</v>
      </c>
      <c r="S166" s="13">
        <f>P166-O166</f>
        <v>-0.42188144684362539</v>
      </c>
    </row>
    <row r="167" spans="2:19" x14ac:dyDescent="0.25">
      <c r="B167" s="8" t="s">
        <v>106</v>
      </c>
      <c r="C167" s="5">
        <v>0.1346444780635401</v>
      </c>
      <c r="D167" s="5">
        <v>0.61363636363636365</v>
      </c>
      <c r="F167" s="13">
        <f t="shared" ref="F167:F175" si="3">D167-C167</f>
        <v>0.47899188557282357</v>
      </c>
      <c r="L167" s="8" t="s">
        <v>106</v>
      </c>
      <c r="M167" s="5">
        <v>4.3872919818456882E-2</v>
      </c>
      <c r="N167" s="5">
        <v>0</v>
      </c>
      <c r="O167" s="5">
        <v>0.52647503782148264</v>
      </c>
      <c r="P167" s="5">
        <v>0.11363636363636363</v>
      </c>
      <c r="R167" s="13">
        <f t="shared" ref="R167:R175" si="4">N167-M167</f>
        <v>-4.3872919818456882E-2</v>
      </c>
      <c r="S167" s="13">
        <f t="shared" ref="S167:S175" si="5">P167-O167</f>
        <v>-0.41283867418511899</v>
      </c>
    </row>
    <row r="168" spans="2:19" x14ac:dyDescent="0.25">
      <c r="B168" s="8" t="s">
        <v>107</v>
      </c>
      <c r="C168" s="5">
        <v>0.16490166414523449</v>
      </c>
      <c r="D168" s="5">
        <v>0.61363636363636365</v>
      </c>
      <c r="F168" s="13">
        <f t="shared" si="3"/>
        <v>0.44873469949112915</v>
      </c>
      <c r="L168" s="8" t="s">
        <v>107</v>
      </c>
      <c r="M168" s="5">
        <v>0.22995461422087746</v>
      </c>
      <c r="N168" s="5">
        <v>7.9545454545454544E-2</v>
      </c>
      <c r="O168" s="5">
        <v>7.7155824508320731E-2</v>
      </c>
      <c r="P168" s="5">
        <v>0</v>
      </c>
      <c r="R168" s="13">
        <f t="shared" si="4"/>
        <v>-0.1504091596754229</v>
      </c>
      <c r="S168" s="13">
        <f t="shared" si="5"/>
        <v>-7.7155824508320731E-2</v>
      </c>
    </row>
    <row r="169" spans="2:19" x14ac:dyDescent="0.25">
      <c r="B169" s="8" t="s">
        <v>108</v>
      </c>
      <c r="C169" s="5">
        <v>0.45990922844175491</v>
      </c>
      <c r="D169" s="5">
        <v>0.64772727272727271</v>
      </c>
      <c r="F169" s="13">
        <f t="shared" si="3"/>
        <v>0.18781804428551779</v>
      </c>
      <c r="L169" s="8" t="s">
        <v>108</v>
      </c>
      <c r="M169" s="5">
        <v>0.11951588502269289</v>
      </c>
      <c r="N169" s="5">
        <v>5.6818181818181816E-2</v>
      </c>
      <c r="O169" s="5">
        <v>0.13615733736762481</v>
      </c>
      <c r="P169" s="5">
        <v>5.6818181818181816E-2</v>
      </c>
      <c r="R169" s="13">
        <f t="shared" si="4"/>
        <v>-6.2697703204511068E-2</v>
      </c>
      <c r="S169" s="13">
        <f t="shared" si="5"/>
        <v>-7.9339155549442986E-2</v>
      </c>
    </row>
    <row r="170" spans="2:19" x14ac:dyDescent="0.25">
      <c r="B170" s="8" t="s">
        <v>109</v>
      </c>
      <c r="C170" s="5">
        <v>0.30559757942511345</v>
      </c>
      <c r="D170" s="5">
        <v>0.68181818181818177</v>
      </c>
      <c r="F170" s="13">
        <f t="shared" si="3"/>
        <v>0.37622060239306832</v>
      </c>
      <c r="L170" s="8" t="s">
        <v>109</v>
      </c>
      <c r="M170" s="5">
        <v>2.4205748865355523E-2</v>
      </c>
      <c r="N170" s="5">
        <v>2.2727272727272728E-2</v>
      </c>
      <c r="O170" s="5">
        <v>0.24508320726172467</v>
      </c>
      <c r="P170" s="5">
        <v>3.4090909090909088E-2</v>
      </c>
      <c r="R170" s="13">
        <f t="shared" si="4"/>
        <v>-1.4784761380827946E-3</v>
      </c>
      <c r="S170" s="13">
        <f t="shared" si="5"/>
        <v>-0.21099229817081558</v>
      </c>
    </row>
    <row r="171" spans="2:19" x14ac:dyDescent="0.25">
      <c r="B171" s="8" t="s">
        <v>110</v>
      </c>
      <c r="C171" s="5">
        <v>0.11800302571860817</v>
      </c>
      <c r="D171" s="5">
        <v>0.61363636363636365</v>
      </c>
      <c r="F171" s="13">
        <f t="shared" si="3"/>
        <v>0.49563333791775549</v>
      </c>
      <c r="L171" s="8" t="s">
        <v>110</v>
      </c>
      <c r="M171" s="5">
        <v>3.4795763993948563E-2</v>
      </c>
      <c r="N171" s="5">
        <v>3.4090909090909088E-2</v>
      </c>
      <c r="O171" s="5">
        <v>0.49621785173978822</v>
      </c>
      <c r="P171" s="5">
        <v>4.5454545454545456E-2</v>
      </c>
      <c r="R171" s="13">
        <f t="shared" si="4"/>
        <v>-7.0485490303947435E-4</v>
      </c>
      <c r="S171" s="13">
        <f t="shared" si="5"/>
        <v>-0.45076330628524275</v>
      </c>
    </row>
    <row r="172" spans="2:19" x14ac:dyDescent="0.25">
      <c r="B172" s="8" t="s">
        <v>111</v>
      </c>
      <c r="C172" s="5">
        <v>0.20423600605143721</v>
      </c>
      <c r="D172" s="5">
        <v>0.69318181818181823</v>
      </c>
      <c r="F172" s="13">
        <f t="shared" si="3"/>
        <v>0.48894581213038102</v>
      </c>
      <c r="L172" s="8" t="s">
        <v>111</v>
      </c>
      <c r="M172" s="5">
        <v>3.1770045385779121E-2</v>
      </c>
      <c r="N172" s="5">
        <v>3.4090909090909088E-2</v>
      </c>
      <c r="O172" s="5">
        <v>0.443267776096823</v>
      </c>
      <c r="P172" s="5">
        <v>3.4090909090909088E-2</v>
      </c>
      <c r="R172" s="13">
        <f t="shared" si="4"/>
        <v>2.3208637051299677E-3</v>
      </c>
      <c r="S172" s="13">
        <f t="shared" si="5"/>
        <v>-0.40917686700591394</v>
      </c>
    </row>
    <row r="173" spans="2:19" x14ac:dyDescent="0.25">
      <c r="B173" s="8" t="s">
        <v>112</v>
      </c>
      <c r="C173" s="5">
        <v>0.13615733736762481</v>
      </c>
      <c r="D173" s="5">
        <v>0.64772727272727271</v>
      </c>
      <c r="F173" s="13">
        <f t="shared" si="3"/>
        <v>0.5115699353596479</v>
      </c>
      <c r="L173" s="8" t="s">
        <v>112</v>
      </c>
      <c r="M173" s="5">
        <v>2.8744326777609682E-2</v>
      </c>
      <c r="N173" s="5">
        <v>0</v>
      </c>
      <c r="O173" s="5">
        <v>0.53706505295007567</v>
      </c>
      <c r="P173" s="5">
        <v>0.13636363636363635</v>
      </c>
      <c r="R173" s="13">
        <f t="shared" si="4"/>
        <v>-2.8744326777609682E-2</v>
      </c>
      <c r="S173" s="13">
        <f t="shared" si="5"/>
        <v>-0.40070141658643932</v>
      </c>
    </row>
    <row r="174" spans="2:19" x14ac:dyDescent="0.25">
      <c r="B174" s="8" t="s">
        <v>113</v>
      </c>
      <c r="C174" s="5">
        <v>0.18608169440242056</v>
      </c>
      <c r="D174" s="5">
        <v>0.69318181818181823</v>
      </c>
      <c r="F174" s="13">
        <f t="shared" si="3"/>
        <v>0.50710012377939773</v>
      </c>
      <c r="L174" s="8" t="s">
        <v>113</v>
      </c>
      <c r="M174" s="5">
        <v>0.63086232980332824</v>
      </c>
      <c r="N174" s="5">
        <v>0.19318181818181818</v>
      </c>
      <c r="O174" s="5">
        <v>7.1104387291981846E-2</v>
      </c>
      <c r="P174" s="5">
        <v>0</v>
      </c>
      <c r="R174" s="13">
        <f t="shared" si="4"/>
        <v>-0.43768051162151006</v>
      </c>
      <c r="S174" s="13">
        <f t="shared" si="5"/>
        <v>-7.1104387291981846E-2</v>
      </c>
    </row>
    <row r="175" spans="2:19" x14ac:dyDescent="0.25">
      <c r="B175" s="8" t="s">
        <v>114</v>
      </c>
      <c r="C175" s="5">
        <v>0.291981845688351</v>
      </c>
      <c r="D175" s="5">
        <v>0.78409090909090906</v>
      </c>
      <c r="F175" s="13">
        <f t="shared" si="3"/>
        <v>0.49210906340255806</v>
      </c>
      <c r="L175" s="8" t="s">
        <v>114</v>
      </c>
      <c r="M175" s="5">
        <v>1.9667170953101363E-2</v>
      </c>
      <c r="N175" s="5">
        <v>1.1363636363636364E-2</v>
      </c>
      <c r="O175" s="5">
        <v>0.44629349470499241</v>
      </c>
      <c r="P175" s="5">
        <v>6.8181818181818177E-2</v>
      </c>
      <c r="R175" s="13">
        <f t="shared" si="4"/>
        <v>-8.3035345894649989E-3</v>
      </c>
      <c r="S175" s="13">
        <f t="shared" si="5"/>
        <v>-0.37811167652317423</v>
      </c>
    </row>
    <row r="177" spans="1:4" x14ac:dyDescent="0.25">
      <c r="B177" s="4" t="s">
        <v>188</v>
      </c>
    </row>
    <row r="178" spans="1:4" x14ac:dyDescent="0.25">
      <c r="A178" s="20" t="s">
        <v>147</v>
      </c>
      <c r="B178" s="8" t="s">
        <v>17</v>
      </c>
      <c r="C178" s="16">
        <v>0.85022692889561269</v>
      </c>
      <c r="D178" s="16">
        <v>0.94318181818181823</v>
      </c>
    </row>
    <row r="179" spans="1:4" x14ac:dyDescent="0.25">
      <c r="A179" s="20"/>
      <c r="B179" s="8" t="s">
        <v>25</v>
      </c>
      <c r="C179" s="16">
        <v>0.41906202723146746</v>
      </c>
      <c r="D179" s="16">
        <v>0.92045454545454541</v>
      </c>
    </row>
    <row r="180" spans="1:4" x14ac:dyDescent="0.25">
      <c r="A180" s="20"/>
      <c r="B180" s="8" t="s">
        <v>19</v>
      </c>
      <c r="C180" s="16">
        <v>0.40090771558245081</v>
      </c>
      <c r="D180" s="16">
        <v>0.88636363636363635</v>
      </c>
    </row>
    <row r="181" spans="1:4" x14ac:dyDescent="0.25">
      <c r="A181" s="20"/>
      <c r="B181" s="8" t="s">
        <v>24</v>
      </c>
      <c r="C181" s="16">
        <v>0.37670196671709533</v>
      </c>
      <c r="D181" s="16">
        <v>0.76136363636363635</v>
      </c>
    </row>
    <row r="182" spans="1:4" x14ac:dyDescent="0.25">
      <c r="A182" s="20"/>
      <c r="B182" s="8" t="s">
        <v>18</v>
      </c>
      <c r="C182" s="16">
        <v>0.24810892586989411</v>
      </c>
      <c r="D182" s="16">
        <v>0.64772727272727271</v>
      </c>
    </row>
    <row r="183" spans="1:4" ht="7.5" customHeight="1" x14ac:dyDescent="0.25">
      <c r="A183" s="10"/>
    </row>
    <row r="184" spans="1:4" x14ac:dyDescent="0.25">
      <c r="B184" s="12" t="s">
        <v>147</v>
      </c>
      <c r="C184" s="17">
        <f>SUM(C178:C182)</f>
        <v>2.2950075642965206</v>
      </c>
      <c r="D184" s="17">
        <f>SUM(D178:D182)</f>
        <v>4.1590909090909092</v>
      </c>
    </row>
    <row r="186" spans="1:4" x14ac:dyDescent="0.25">
      <c r="A186" s="20" t="s">
        <v>148</v>
      </c>
      <c r="B186" s="8" t="s">
        <v>27</v>
      </c>
      <c r="C186" s="16">
        <v>1.3207261724659607</v>
      </c>
      <c r="D186" s="16">
        <v>0.95454545454545459</v>
      </c>
    </row>
    <row r="187" spans="1:4" x14ac:dyDescent="0.25">
      <c r="A187" s="20"/>
      <c r="B187" s="8" t="s">
        <v>22</v>
      </c>
      <c r="C187" s="16">
        <v>2.5854765506807866</v>
      </c>
      <c r="D187" s="16">
        <v>1.8295454545454546</v>
      </c>
    </row>
    <row r="188" spans="1:4" x14ac:dyDescent="0.25">
      <c r="A188" s="20"/>
      <c r="B188" s="8" t="s">
        <v>15</v>
      </c>
      <c r="C188" s="16">
        <v>0.75189107413010592</v>
      </c>
      <c r="D188" s="16">
        <v>0.81818181818181823</v>
      </c>
    </row>
    <row r="189" spans="1:4" x14ac:dyDescent="0.25">
      <c r="A189" s="20"/>
      <c r="B189" s="8" t="s">
        <v>16</v>
      </c>
      <c r="C189" s="16">
        <v>3.1770045385779121E-2</v>
      </c>
      <c r="D189" s="16">
        <v>0.39772727272727271</v>
      </c>
    </row>
    <row r="190" spans="1:4" x14ac:dyDescent="0.25">
      <c r="A190" s="20"/>
      <c r="B190" s="8" t="s">
        <v>21</v>
      </c>
      <c r="C190" s="16">
        <v>0.98789712556732223</v>
      </c>
      <c r="D190" s="16">
        <v>1.6136363636363635</v>
      </c>
    </row>
    <row r="191" spans="1:4" x14ac:dyDescent="0.25">
      <c r="A191" s="20"/>
      <c r="B191" s="8" t="s">
        <v>14</v>
      </c>
      <c r="C191" s="16">
        <v>1.0468986384266263</v>
      </c>
      <c r="D191" s="16">
        <v>1.0113636363636365</v>
      </c>
    </row>
    <row r="192" spans="1:4" ht="6" customHeight="1" x14ac:dyDescent="0.25"/>
    <row r="193" spans="1:4" x14ac:dyDescent="0.25">
      <c r="B193" s="12" t="s">
        <v>148</v>
      </c>
      <c r="C193" s="17">
        <f>SUM(C186:C191)</f>
        <v>6.7246596066565818</v>
      </c>
      <c r="D193" s="17">
        <f>SUM(D186:D191)</f>
        <v>6.625</v>
      </c>
    </row>
    <row r="195" spans="1:4" x14ac:dyDescent="0.25">
      <c r="A195" s="20" t="s">
        <v>149</v>
      </c>
      <c r="B195" s="8" t="s">
        <v>23</v>
      </c>
      <c r="C195" s="16">
        <v>0.15128593040847202</v>
      </c>
      <c r="D195" s="16">
        <v>0.90909090909090906</v>
      </c>
    </row>
    <row r="196" spans="1:4" x14ac:dyDescent="0.25">
      <c r="A196" s="20"/>
      <c r="B196" s="8" t="s">
        <v>16</v>
      </c>
      <c r="C196" s="16">
        <v>3.1770045385779121E-2</v>
      </c>
      <c r="D196" s="16">
        <v>0.39772727272727271</v>
      </c>
    </row>
    <row r="197" spans="1:4" x14ac:dyDescent="0.25">
      <c r="A197" s="20"/>
      <c r="B197" s="8" t="s">
        <v>28</v>
      </c>
      <c r="C197" s="16">
        <v>0.13010590015128592</v>
      </c>
      <c r="D197" s="16">
        <v>0.68181818181818177</v>
      </c>
    </row>
    <row r="198" spans="1:4" ht="9" customHeight="1" x14ac:dyDescent="0.25"/>
    <row r="199" spans="1:4" x14ac:dyDescent="0.25">
      <c r="B199" s="12" t="s">
        <v>149</v>
      </c>
      <c r="C199" s="17">
        <f>SUM(C195:C197)</f>
        <v>0.31316187594553707</v>
      </c>
      <c r="D199" s="17">
        <f>SUM(D195:D197)</f>
        <v>1.9886363636363633</v>
      </c>
    </row>
    <row r="201" spans="1:4" ht="22.5" x14ac:dyDescent="0.25">
      <c r="A201" s="9" t="s">
        <v>150</v>
      </c>
      <c r="B201" s="8" t="s">
        <v>29</v>
      </c>
      <c r="C201" s="16">
        <v>7.8668683812405452E-2</v>
      </c>
      <c r="D201" s="16">
        <v>0.46590909090909088</v>
      </c>
    </row>
    <row r="203" spans="1:4" x14ac:dyDescent="0.25">
      <c r="A203" s="20" t="s">
        <v>151</v>
      </c>
      <c r="B203" s="8" t="s">
        <v>26</v>
      </c>
      <c r="C203" s="16">
        <v>2.146747352496218</v>
      </c>
      <c r="D203" s="16">
        <v>1.7045454545454546</v>
      </c>
    </row>
    <row r="204" spans="1:4" x14ac:dyDescent="0.25">
      <c r="A204" s="20"/>
      <c r="B204" s="8" t="s">
        <v>20</v>
      </c>
      <c r="C204" s="16">
        <v>7.1966717095310138</v>
      </c>
      <c r="D204" s="16">
        <v>7.1477272727272725</v>
      </c>
    </row>
    <row r="205" spans="1:4" ht="7.5" customHeight="1" x14ac:dyDescent="0.25"/>
    <row r="206" spans="1:4" x14ac:dyDescent="0.25">
      <c r="B206" s="12" t="s">
        <v>151</v>
      </c>
      <c r="C206" s="17">
        <f>SUM(C203:C204)</f>
        <v>9.3434190620272322</v>
      </c>
      <c r="D206" s="17">
        <f>SUM(D203:D204)</f>
        <v>8.8522727272727266</v>
      </c>
    </row>
    <row r="208" spans="1:4" x14ac:dyDescent="0.25">
      <c r="A208" s="9" t="s">
        <v>152</v>
      </c>
      <c r="B208" s="8" t="s">
        <v>146</v>
      </c>
      <c r="C208" s="16">
        <v>2.4523449319213313</v>
      </c>
      <c r="D208" s="16">
        <v>1.9659090909090908</v>
      </c>
    </row>
    <row r="209" spans="1:19" x14ac:dyDescent="0.25">
      <c r="A209" s="10"/>
    </row>
    <row r="210" spans="1:19" x14ac:dyDescent="0.25">
      <c r="A210" s="9" t="s">
        <v>10</v>
      </c>
      <c r="B210" s="8" t="s">
        <v>30</v>
      </c>
      <c r="C210" s="16">
        <v>2.3101361573373675</v>
      </c>
      <c r="D210" s="16">
        <v>1.25</v>
      </c>
    </row>
    <row r="213" spans="1:19" ht="21" x14ac:dyDescent="0.35">
      <c r="B213" s="1" t="s">
        <v>196</v>
      </c>
    </row>
    <row r="216" spans="1:19" x14ac:dyDescent="0.25">
      <c r="B216" s="4" t="s">
        <v>189</v>
      </c>
      <c r="L216" s="4" t="s">
        <v>190</v>
      </c>
    </row>
    <row r="217" spans="1:19" x14ac:dyDescent="0.25">
      <c r="C217" s="7" t="s">
        <v>140</v>
      </c>
      <c r="D217" s="7" t="s">
        <v>141</v>
      </c>
      <c r="F217" s="7" t="s">
        <v>153</v>
      </c>
      <c r="M217" s="21" t="s">
        <v>144</v>
      </c>
      <c r="N217" s="21"/>
      <c r="O217" s="21" t="s">
        <v>145</v>
      </c>
      <c r="P217" s="21"/>
    </row>
    <row r="218" spans="1:19" x14ac:dyDescent="0.25">
      <c r="B218" s="8" t="s">
        <v>115</v>
      </c>
      <c r="C218" s="5">
        <v>0.73071104387291985</v>
      </c>
      <c r="D218" s="5">
        <v>0.81818181818181823</v>
      </c>
      <c r="F218" s="13">
        <f>D218-C218</f>
        <v>8.747077430889838E-2</v>
      </c>
      <c r="M218" s="7" t="s">
        <v>140</v>
      </c>
      <c r="N218" s="7" t="s">
        <v>141</v>
      </c>
      <c r="O218" s="7" t="s">
        <v>140</v>
      </c>
      <c r="P218" s="7" t="s">
        <v>141</v>
      </c>
      <c r="R218" s="7" t="s">
        <v>154</v>
      </c>
      <c r="S218" s="7" t="s">
        <v>155</v>
      </c>
    </row>
    <row r="219" spans="1:19" x14ac:dyDescent="0.25">
      <c r="B219" s="8" t="s">
        <v>116</v>
      </c>
      <c r="C219" s="5">
        <v>0.59606656580937978</v>
      </c>
      <c r="D219" s="5">
        <v>0.89772727272727271</v>
      </c>
      <c r="F219" s="13">
        <f t="shared" ref="F219:F228" si="6">D219-C219</f>
        <v>0.30166070691789293</v>
      </c>
      <c r="L219" s="8" t="s">
        <v>115</v>
      </c>
      <c r="M219" s="5">
        <v>3.4795763993948563E-2</v>
      </c>
      <c r="N219" s="5">
        <v>5.6818181818181823E-2</v>
      </c>
      <c r="O219" s="5">
        <v>0.23146747352496216</v>
      </c>
      <c r="P219" s="5">
        <v>0.125</v>
      </c>
      <c r="R219" s="13">
        <f>N219-M219</f>
        <v>2.202241782423326E-2</v>
      </c>
      <c r="S219" s="13">
        <f>P219-O219</f>
        <v>-0.10646747352496216</v>
      </c>
    </row>
    <row r="220" spans="1:19" x14ac:dyDescent="0.25">
      <c r="B220" s="8" t="s">
        <v>117</v>
      </c>
      <c r="C220" s="5">
        <v>0.69742813918305602</v>
      </c>
      <c r="D220" s="5">
        <v>0.90909090909090906</v>
      </c>
      <c r="F220" s="13">
        <f t="shared" si="6"/>
        <v>0.21166276990785304</v>
      </c>
      <c r="L220" s="8" t="s">
        <v>116</v>
      </c>
      <c r="M220" s="5">
        <v>4.5385779122541605E-3</v>
      </c>
      <c r="N220" s="5">
        <v>1.1363636363636364E-2</v>
      </c>
      <c r="O220" s="5">
        <v>0.39939485627836613</v>
      </c>
      <c r="P220" s="5">
        <v>9.0909090909090912E-2</v>
      </c>
      <c r="R220" s="13">
        <f t="shared" ref="R220:R229" si="7">N220-M220</f>
        <v>6.8250584513822035E-3</v>
      </c>
      <c r="S220" s="13">
        <f t="shared" ref="S220:S229" si="8">P220-O220</f>
        <v>-0.30848576536927519</v>
      </c>
    </row>
    <row r="221" spans="1:19" x14ac:dyDescent="0.25">
      <c r="B221" s="8" t="s">
        <v>118</v>
      </c>
      <c r="C221" s="5">
        <v>0.75189107413010592</v>
      </c>
      <c r="D221" s="5">
        <v>0.96590909090909094</v>
      </c>
      <c r="F221" s="13">
        <f t="shared" si="6"/>
        <v>0.21401801677898502</v>
      </c>
      <c r="L221" s="8" t="s">
        <v>117</v>
      </c>
      <c r="M221" s="5">
        <v>3.3282904689863842E-2</v>
      </c>
      <c r="N221" s="5">
        <v>2.2727272727272728E-2</v>
      </c>
      <c r="O221" s="5">
        <v>0.24357034795763993</v>
      </c>
      <c r="P221" s="5">
        <v>6.8181818181818177E-2</v>
      </c>
      <c r="R221" s="13">
        <f t="shared" si="7"/>
        <v>-1.0555631962591114E-2</v>
      </c>
      <c r="S221" s="13">
        <f t="shared" si="8"/>
        <v>-0.17538852977582176</v>
      </c>
    </row>
    <row r="222" spans="1:19" x14ac:dyDescent="0.25">
      <c r="B222" s="8" t="s">
        <v>119</v>
      </c>
      <c r="C222" s="5">
        <v>0.81694402420574885</v>
      </c>
      <c r="D222" s="5">
        <v>0.95454545454545459</v>
      </c>
      <c r="F222" s="13">
        <f t="shared" si="6"/>
        <v>0.13760143033970573</v>
      </c>
      <c r="L222" s="8" t="s">
        <v>118</v>
      </c>
      <c r="M222" s="5">
        <v>1.9667170953101359E-2</v>
      </c>
      <c r="N222" s="5">
        <v>0</v>
      </c>
      <c r="O222" s="5">
        <v>0.22239031770045384</v>
      </c>
      <c r="P222" s="5">
        <v>3.4090909090909088E-2</v>
      </c>
      <c r="R222" s="13">
        <f t="shared" si="7"/>
        <v>-1.9667170953101359E-2</v>
      </c>
      <c r="S222" s="13">
        <f t="shared" si="8"/>
        <v>-0.18829940860954475</v>
      </c>
    </row>
    <row r="223" spans="1:19" x14ac:dyDescent="0.25">
      <c r="B223" s="8" t="s">
        <v>120</v>
      </c>
      <c r="C223" s="5">
        <v>0.54462934947049924</v>
      </c>
      <c r="D223" s="5">
        <v>0.88636363636363635</v>
      </c>
      <c r="F223" s="13">
        <f t="shared" si="6"/>
        <v>0.34173428689313712</v>
      </c>
      <c r="L223" s="8" t="s">
        <v>119</v>
      </c>
      <c r="M223" s="5">
        <v>3.3282904689863842E-2</v>
      </c>
      <c r="N223" s="5">
        <v>0</v>
      </c>
      <c r="O223" s="5">
        <v>0.14977307110438728</v>
      </c>
      <c r="P223" s="5">
        <v>4.5454545454545456E-2</v>
      </c>
      <c r="R223" s="13">
        <f t="shared" si="7"/>
        <v>-3.3282904689863842E-2</v>
      </c>
      <c r="S223" s="13">
        <f t="shared" si="8"/>
        <v>-0.10431852564984183</v>
      </c>
    </row>
    <row r="224" spans="1:19" x14ac:dyDescent="0.25">
      <c r="B224" s="8" t="s">
        <v>121</v>
      </c>
      <c r="C224" s="5">
        <v>0.63842662632375191</v>
      </c>
      <c r="D224" s="5">
        <v>0.84090909090909094</v>
      </c>
      <c r="F224" s="13">
        <f t="shared" si="6"/>
        <v>0.20248246458533903</v>
      </c>
      <c r="L224" s="8" t="s">
        <v>120</v>
      </c>
      <c r="M224" s="5">
        <v>0.17549167927382753</v>
      </c>
      <c r="N224" s="5">
        <v>3.4090909090909088E-2</v>
      </c>
      <c r="O224" s="5">
        <v>0.27987897125567324</v>
      </c>
      <c r="P224" s="5">
        <v>7.9545454545454544E-2</v>
      </c>
      <c r="R224" s="13">
        <f t="shared" si="7"/>
        <v>-0.14140077018291844</v>
      </c>
      <c r="S224" s="13">
        <f t="shared" si="8"/>
        <v>-0.20033351671021871</v>
      </c>
    </row>
    <row r="225" spans="2:19" x14ac:dyDescent="0.25">
      <c r="B225" s="8" t="s">
        <v>122</v>
      </c>
      <c r="C225" s="5">
        <v>0.72617246596066565</v>
      </c>
      <c r="D225" s="5">
        <v>0.90909090909090906</v>
      </c>
      <c r="F225" s="13">
        <f t="shared" si="6"/>
        <v>0.18291844313024341</v>
      </c>
      <c r="L225" s="8" t="s">
        <v>121</v>
      </c>
      <c r="M225" s="5">
        <v>0.13767019667170954</v>
      </c>
      <c r="N225" s="5">
        <v>0.11363636363636365</v>
      </c>
      <c r="O225" s="5">
        <v>0.11649016641452345</v>
      </c>
      <c r="P225" s="5">
        <v>3.4090909090909088E-2</v>
      </c>
      <c r="R225" s="13">
        <f t="shared" si="7"/>
        <v>-2.4033833035345897E-2</v>
      </c>
      <c r="S225" s="13">
        <f t="shared" si="8"/>
        <v>-8.2399257323614361E-2</v>
      </c>
    </row>
    <row r="226" spans="2:19" x14ac:dyDescent="0.25">
      <c r="B226" s="8" t="s">
        <v>123</v>
      </c>
      <c r="C226" s="5">
        <v>0.46444780635400906</v>
      </c>
      <c r="D226" s="5">
        <v>0.70454545454545459</v>
      </c>
      <c r="F226" s="13">
        <f t="shared" si="6"/>
        <v>0.24009764819144552</v>
      </c>
      <c r="L226" s="8" t="s">
        <v>122</v>
      </c>
      <c r="M226" s="5">
        <v>6.0514372163388806E-3</v>
      </c>
      <c r="N226" s="5">
        <v>1.1363636363636364E-2</v>
      </c>
      <c r="O226" s="5">
        <v>0.26172465960665658</v>
      </c>
      <c r="P226" s="5">
        <v>7.9545454545454544E-2</v>
      </c>
      <c r="R226" s="13">
        <f t="shared" si="7"/>
        <v>5.3121991472974833E-3</v>
      </c>
      <c r="S226" s="13">
        <f t="shared" si="8"/>
        <v>-0.18217920506120205</v>
      </c>
    </row>
    <row r="227" spans="2:19" x14ac:dyDescent="0.25">
      <c r="B227" s="8" t="s">
        <v>124</v>
      </c>
      <c r="C227" s="5">
        <v>0.74432677760968224</v>
      </c>
      <c r="D227" s="5">
        <v>0.78409090909090906</v>
      </c>
      <c r="F227" s="13">
        <f t="shared" si="6"/>
        <v>3.9764131481226817E-2</v>
      </c>
      <c r="L227" s="8" t="s">
        <v>123</v>
      </c>
      <c r="M227" s="5">
        <v>0.45234493192133129</v>
      </c>
      <c r="N227" s="5">
        <v>0.25</v>
      </c>
      <c r="O227" s="5">
        <v>8.1694402420574894E-2</v>
      </c>
      <c r="P227" s="5">
        <v>3.4090909090909088E-2</v>
      </c>
      <c r="R227" s="13">
        <f t="shared" si="7"/>
        <v>-0.20234493192133129</v>
      </c>
      <c r="S227" s="13">
        <f t="shared" si="8"/>
        <v>-4.7603493329665805E-2</v>
      </c>
    </row>
    <row r="228" spans="2:19" x14ac:dyDescent="0.25">
      <c r="B228" s="8" t="s">
        <v>125</v>
      </c>
      <c r="C228" s="5">
        <v>0.78214826021180028</v>
      </c>
      <c r="D228" s="5">
        <v>0.97727272727272729</v>
      </c>
      <c r="F228" s="13">
        <f t="shared" si="6"/>
        <v>0.19512446706092701</v>
      </c>
      <c r="L228" s="8" t="s">
        <v>124</v>
      </c>
      <c r="M228" s="5">
        <v>0.17095310136157338</v>
      </c>
      <c r="N228" s="5">
        <v>0.18181818181818182</v>
      </c>
      <c r="O228" s="5">
        <v>7.4130105900151289E-2</v>
      </c>
      <c r="P228" s="5">
        <v>2.2727272727272728E-2</v>
      </c>
      <c r="R228" s="13">
        <f t="shared" si="7"/>
        <v>1.0865080456608445E-2</v>
      </c>
      <c r="S228" s="13">
        <f t="shared" si="8"/>
        <v>-5.1402833172878561E-2</v>
      </c>
    </row>
    <row r="229" spans="2:19" x14ac:dyDescent="0.25">
      <c r="L229" s="8" t="s">
        <v>125</v>
      </c>
      <c r="M229" s="5">
        <v>1.2102874432677761E-2</v>
      </c>
      <c r="N229" s="5">
        <v>0</v>
      </c>
      <c r="O229" s="5">
        <v>0.19969742813918306</v>
      </c>
      <c r="P229" s="5">
        <v>2.2727272727272728E-2</v>
      </c>
      <c r="R229" s="13">
        <f t="shared" si="7"/>
        <v>-1.2102874432677761E-2</v>
      </c>
      <c r="S229" s="13">
        <f t="shared" si="8"/>
        <v>-0.17697015541191033</v>
      </c>
    </row>
    <row r="231" spans="2:19" x14ac:dyDescent="0.25">
      <c r="B231" s="4" t="s">
        <v>193</v>
      </c>
      <c r="L231" s="4" t="s">
        <v>194</v>
      </c>
    </row>
    <row r="232" spans="2:19" x14ac:dyDescent="0.25">
      <c r="M232" s="21" t="s">
        <v>191</v>
      </c>
      <c r="N232" s="21"/>
      <c r="O232" s="21" t="s">
        <v>192</v>
      </c>
      <c r="P232" s="21"/>
    </row>
    <row r="233" spans="2:19" x14ac:dyDescent="0.25">
      <c r="C233" s="7" t="s">
        <v>140</v>
      </c>
      <c r="D233" s="7" t="s">
        <v>141</v>
      </c>
      <c r="F233" s="7" t="s">
        <v>153</v>
      </c>
      <c r="M233" s="7" t="s">
        <v>140</v>
      </c>
      <c r="N233" s="7" t="s">
        <v>141</v>
      </c>
      <c r="O233" s="7" t="s">
        <v>140</v>
      </c>
      <c r="P233" s="7" t="s">
        <v>141</v>
      </c>
      <c r="R233" s="7" t="s">
        <v>154</v>
      </c>
      <c r="S233" s="7" t="s">
        <v>155</v>
      </c>
    </row>
    <row r="234" spans="2:19" x14ac:dyDescent="0.25">
      <c r="B234" s="8" t="s">
        <v>115</v>
      </c>
      <c r="C234" s="5">
        <v>0.61724659606656584</v>
      </c>
      <c r="D234" s="5">
        <v>0.73863636363636365</v>
      </c>
      <c r="F234" s="13">
        <f>D234-C234</f>
        <v>0.1213897675697978</v>
      </c>
      <c r="L234" s="8" t="s">
        <v>115</v>
      </c>
      <c r="M234" s="5">
        <v>0.24205748865355523</v>
      </c>
      <c r="N234" s="5">
        <v>0.125</v>
      </c>
      <c r="O234" s="5">
        <v>2.7231467473524961E-2</v>
      </c>
      <c r="P234" s="5">
        <v>1.1363636363636364E-2</v>
      </c>
      <c r="R234" s="13">
        <f>N234-M234</f>
        <v>-0.11705748865355523</v>
      </c>
      <c r="S234" s="13">
        <f>P234-O234</f>
        <v>-1.5867831109888597E-2</v>
      </c>
    </row>
    <row r="235" spans="2:19" x14ac:dyDescent="0.25">
      <c r="B235" s="8" t="s">
        <v>116</v>
      </c>
      <c r="C235" s="5">
        <v>0.5431164901664145</v>
      </c>
      <c r="D235" s="5">
        <v>0.78409090909090906</v>
      </c>
      <c r="F235" s="13">
        <f t="shared" ref="F235:F244" si="9">D235-C235</f>
        <v>0.24097441892449456</v>
      </c>
      <c r="L235" s="8" t="s">
        <v>116</v>
      </c>
      <c r="M235" s="5">
        <v>0.35249621785173979</v>
      </c>
      <c r="N235" s="5">
        <v>9.0909090909090912E-2</v>
      </c>
      <c r="O235" s="5">
        <v>1.2102874432677761E-2</v>
      </c>
      <c r="P235" s="5">
        <v>0</v>
      </c>
      <c r="R235" s="13">
        <f t="shared" ref="R235:R244" si="10">N235-M235</f>
        <v>-0.26158712694264885</v>
      </c>
      <c r="S235" s="13">
        <f t="shared" ref="S235:S244" si="11">P235-O235</f>
        <v>-1.2102874432677761E-2</v>
      </c>
    </row>
    <row r="236" spans="2:19" x14ac:dyDescent="0.25">
      <c r="B236" s="8" t="s">
        <v>117</v>
      </c>
      <c r="C236" s="5">
        <v>0.62481089258698941</v>
      </c>
      <c r="D236" s="5">
        <v>0.81818181818181823</v>
      </c>
      <c r="F236" s="13">
        <f t="shared" si="9"/>
        <v>0.19337092559482882</v>
      </c>
      <c r="L236" s="8" t="s">
        <v>117</v>
      </c>
      <c r="M236" s="5">
        <v>0.22541603630862331</v>
      </c>
      <c r="N236" s="5">
        <v>2.2727272727272728E-2</v>
      </c>
      <c r="O236" s="5">
        <v>3.4795763993948563E-2</v>
      </c>
      <c r="P236" s="5">
        <v>1.1363636363636364E-2</v>
      </c>
      <c r="R236" s="13">
        <f t="shared" si="10"/>
        <v>-0.20268876358135057</v>
      </c>
      <c r="S236" s="13">
        <f t="shared" si="11"/>
        <v>-2.3432127630312199E-2</v>
      </c>
    </row>
    <row r="237" spans="2:19" x14ac:dyDescent="0.25">
      <c r="B237" s="8" t="s">
        <v>118</v>
      </c>
      <c r="C237" s="5">
        <v>0.63086232980332824</v>
      </c>
      <c r="D237" s="5">
        <v>0.84090909090909094</v>
      </c>
      <c r="F237" s="13">
        <f t="shared" si="9"/>
        <v>0.2100467611057627</v>
      </c>
      <c r="L237" s="8" t="s">
        <v>118</v>
      </c>
      <c r="M237" s="5">
        <v>0.20272314674735251</v>
      </c>
      <c r="N237" s="5">
        <v>6.8181818181818177E-2</v>
      </c>
      <c r="O237" s="5">
        <v>2.2692889561270801E-2</v>
      </c>
      <c r="P237" s="5">
        <v>1.1363636363636364E-2</v>
      </c>
      <c r="R237" s="13">
        <f t="shared" si="10"/>
        <v>-0.13454132856553433</v>
      </c>
      <c r="S237" s="13">
        <f t="shared" si="11"/>
        <v>-1.1329253197634438E-2</v>
      </c>
    </row>
    <row r="238" spans="2:19" x14ac:dyDescent="0.25">
      <c r="B238" s="8" t="s">
        <v>119</v>
      </c>
      <c r="C238" s="5">
        <v>0.70347957639939485</v>
      </c>
      <c r="D238" s="5">
        <v>0.82954545454545459</v>
      </c>
      <c r="F238" s="13">
        <f t="shared" si="9"/>
        <v>0.12606587814605974</v>
      </c>
      <c r="L238" s="8" t="s">
        <v>119</v>
      </c>
      <c r="M238" s="5">
        <v>0.17549167927382753</v>
      </c>
      <c r="N238" s="5">
        <v>5.6818181818181816E-2</v>
      </c>
      <c r="O238" s="5">
        <v>2.118003025718608E-2</v>
      </c>
      <c r="P238" s="5">
        <v>1.1363636363636364E-2</v>
      </c>
      <c r="R238" s="13">
        <f t="shared" si="10"/>
        <v>-0.1186734974556457</v>
      </c>
      <c r="S238" s="13">
        <f t="shared" si="11"/>
        <v>-9.8163938935497165E-3</v>
      </c>
    </row>
    <row r="239" spans="2:19" x14ac:dyDescent="0.25">
      <c r="B239" s="8" t="s">
        <v>120</v>
      </c>
      <c r="C239" s="5">
        <v>0.47049924357034795</v>
      </c>
      <c r="D239" s="5">
        <v>0.80681818181818177</v>
      </c>
      <c r="F239" s="13">
        <f t="shared" si="9"/>
        <v>0.33631893824783382</v>
      </c>
      <c r="L239" s="8" t="s">
        <v>120</v>
      </c>
      <c r="M239" s="5">
        <v>0.2556732223903177</v>
      </c>
      <c r="N239" s="5">
        <v>6.8181818181818177E-2</v>
      </c>
      <c r="O239" s="5">
        <v>0.18456883509833585</v>
      </c>
      <c r="P239" s="5">
        <v>3.4090909090909088E-2</v>
      </c>
      <c r="R239" s="13">
        <f t="shared" si="10"/>
        <v>-0.18749140420849952</v>
      </c>
      <c r="S239" s="13">
        <f t="shared" si="11"/>
        <v>-0.15047792600742677</v>
      </c>
    </row>
    <row r="240" spans="2:19" x14ac:dyDescent="0.25">
      <c r="B240" s="8" t="s">
        <v>121</v>
      </c>
      <c r="C240" s="5">
        <v>0.35703479576399394</v>
      </c>
      <c r="D240" s="5">
        <v>0.72727272727272729</v>
      </c>
      <c r="F240" s="13">
        <f t="shared" si="9"/>
        <v>0.37023793150873335</v>
      </c>
      <c r="L240" s="8" t="s">
        <v>121</v>
      </c>
      <c r="M240" s="5">
        <v>8.3207261724659601E-2</v>
      </c>
      <c r="N240" s="5">
        <v>4.5454545454545456E-2</v>
      </c>
      <c r="O240" s="5">
        <v>0.11649016641452345</v>
      </c>
      <c r="P240" s="5">
        <v>6.8181818181818177E-2</v>
      </c>
      <c r="R240" s="13">
        <f t="shared" si="10"/>
        <v>-3.7752716270114145E-2</v>
      </c>
      <c r="S240" s="13">
        <f t="shared" si="11"/>
        <v>-4.8308348232705273E-2</v>
      </c>
    </row>
    <row r="241" spans="2:19" x14ac:dyDescent="0.25">
      <c r="B241" s="8" t="s">
        <v>122</v>
      </c>
      <c r="C241" s="5">
        <v>0.63237518910741297</v>
      </c>
      <c r="D241" s="5">
        <v>0.82954545454545459</v>
      </c>
      <c r="F241" s="13">
        <f t="shared" si="9"/>
        <v>0.19717026543804161</v>
      </c>
      <c r="L241" s="8" t="s">
        <v>122</v>
      </c>
      <c r="M241" s="5">
        <v>0.26323751891074132</v>
      </c>
      <c r="N241" s="5">
        <v>4.5454545454545456E-2</v>
      </c>
      <c r="O241" s="5">
        <v>1.2102874432677761E-2</v>
      </c>
      <c r="P241" s="5">
        <v>3.4090909090909088E-2</v>
      </c>
      <c r="R241" s="13">
        <f t="shared" si="10"/>
        <v>-0.21778297345619585</v>
      </c>
      <c r="S241" s="13">
        <f t="shared" si="11"/>
        <v>2.1988034658231327E-2</v>
      </c>
    </row>
    <row r="242" spans="2:19" x14ac:dyDescent="0.25">
      <c r="B242" s="8" t="s">
        <v>123</v>
      </c>
      <c r="C242" s="5">
        <v>0.39636913767019666</v>
      </c>
      <c r="D242" s="5">
        <v>0.63636363636363635</v>
      </c>
      <c r="F242" s="13">
        <f t="shared" si="9"/>
        <v>0.2399944986934397</v>
      </c>
      <c r="L242" s="8" t="s">
        <v>123</v>
      </c>
      <c r="M242" s="5">
        <v>7.564296520423601E-2</v>
      </c>
      <c r="N242" s="5">
        <v>3.4090909090909088E-2</v>
      </c>
      <c r="O242" s="5">
        <v>0.42511346444780634</v>
      </c>
      <c r="P242" s="5">
        <v>0.10227272727272728</v>
      </c>
      <c r="R242" s="13">
        <f t="shared" si="10"/>
        <v>-4.1552056113326921E-2</v>
      </c>
      <c r="S242" s="13">
        <f t="shared" si="11"/>
        <v>-0.32284073717507905</v>
      </c>
    </row>
    <row r="243" spans="2:19" x14ac:dyDescent="0.25">
      <c r="B243" s="8" t="s">
        <v>124</v>
      </c>
      <c r="C243" s="5">
        <v>0.64599092284417547</v>
      </c>
      <c r="D243" s="5">
        <v>0.69318181818181823</v>
      </c>
      <c r="F243" s="13">
        <f t="shared" si="9"/>
        <v>4.7190895337642758E-2</v>
      </c>
      <c r="L243" s="8" t="s">
        <v>124</v>
      </c>
      <c r="M243" s="5">
        <v>6.5052950075642962E-2</v>
      </c>
      <c r="N243" s="5">
        <v>0</v>
      </c>
      <c r="O243" s="5">
        <v>0.16792738275340394</v>
      </c>
      <c r="P243" s="5">
        <v>0.10227272727272728</v>
      </c>
      <c r="R243" s="13">
        <f t="shared" si="10"/>
        <v>-6.5052950075642962E-2</v>
      </c>
      <c r="S243" s="13">
        <f t="shared" si="11"/>
        <v>-6.5654655480676657E-2</v>
      </c>
    </row>
    <row r="244" spans="2:19" x14ac:dyDescent="0.25">
      <c r="B244" s="8" t="s">
        <v>125</v>
      </c>
      <c r="C244" s="5">
        <v>0.63388804841149771</v>
      </c>
      <c r="D244" s="5">
        <v>0.82954545454545459</v>
      </c>
      <c r="F244" s="13">
        <f t="shared" si="9"/>
        <v>0.19565740613395688</v>
      </c>
      <c r="L244" s="8" t="s">
        <v>125</v>
      </c>
      <c r="M244" s="5">
        <v>0.22844175491679275</v>
      </c>
      <c r="N244" s="5">
        <v>4.5454545454545456E-2</v>
      </c>
      <c r="O244" s="5">
        <v>1.5128593040847202E-2</v>
      </c>
      <c r="P244" s="5">
        <v>1.1363636363636364E-2</v>
      </c>
      <c r="R244" s="13">
        <f t="shared" si="10"/>
        <v>-0.18298720946224728</v>
      </c>
      <c r="S244" s="13">
        <f t="shared" si="11"/>
        <v>-3.7649566772108376E-3</v>
      </c>
    </row>
    <row r="247" spans="2:19" ht="21" x14ac:dyDescent="0.35">
      <c r="B247" s="1" t="s">
        <v>197</v>
      </c>
    </row>
    <row r="249" spans="2:19" x14ac:dyDescent="0.25">
      <c r="B249" s="4" t="s">
        <v>198</v>
      </c>
      <c r="L249" s="4" t="s">
        <v>199</v>
      </c>
    </row>
    <row r="250" spans="2:19" x14ac:dyDescent="0.25">
      <c r="C250" s="7" t="s">
        <v>140</v>
      </c>
      <c r="D250" s="7" t="s">
        <v>141</v>
      </c>
      <c r="F250" s="7" t="s">
        <v>153</v>
      </c>
      <c r="M250" s="7" t="s">
        <v>140</v>
      </c>
      <c r="N250" s="7" t="s">
        <v>141</v>
      </c>
      <c r="P250" s="7" t="s">
        <v>153</v>
      </c>
    </row>
    <row r="251" spans="2:19" x14ac:dyDescent="0.25">
      <c r="B251" s="8" t="s">
        <v>73</v>
      </c>
      <c r="C251" s="5">
        <v>0.41906202723146746</v>
      </c>
      <c r="D251" s="5">
        <v>0.19318181818181818</v>
      </c>
      <c r="F251" s="13">
        <f>D251-C251</f>
        <v>-0.22588020904964928</v>
      </c>
      <c r="L251" s="8" t="s">
        <v>73</v>
      </c>
      <c r="M251" s="5">
        <v>7.7155824508320731E-2</v>
      </c>
      <c r="N251" s="5">
        <v>0.30681818181818182</v>
      </c>
      <c r="P251" s="13">
        <f>N251-M251</f>
        <v>0.22966235730986109</v>
      </c>
    </row>
    <row r="252" spans="2:19" x14ac:dyDescent="0.25">
      <c r="B252" s="8" t="s">
        <v>74</v>
      </c>
      <c r="C252" s="5">
        <v>0.41906202723146746</v>
      </c>
      <c r="D252" s="5">
        <v>0.38636363636363635</v>
      </c>
      <c r="F252" s="13">
        <f t="shared" ref="F252:F263" si="12">D252-C252</f>
        <v>-3.2698390867831106E-2</v>
      </c>
      <c r="L252" s="8" t="s">
        <v>74</v>
      </c>
      <c r="M252" s="5">
        <v>9.3797276853252648E-2</v>
      </c>
      <c r="N252" s="5">
        <v>0.18181818181818182</v>
      </c>
      <c r="P252" s="13">
        <f t="shared" ref="P252:P263" si="13">N252-M252</f>
        <v>8.8020904964929175E-2</v>
      </c>
    </row>
    <row r="253" spans="2:19" x14ac:dyDescent="0.25">
      <c r="B253" s="8" t="s">
        <v>75</v>
      </c>
      <c r="C253" s="5">
        <v>0.63109756097560976</v>
      </c>
      <c r="D253" s="5">
        <v>0.28409090909090906</v>
      </c>
      <c r="F253" s="13">
        <f t="shared" si="12"/>
        <v>-0.3470066518847007</v>
      </c>
      <c r="L253" s="8" t="s">
        <v>75</v>
      </c>
      <c r="M253" s="5">
        <v>3.048780487804878E-2</v>
      </c>
      <c r="N253" s="5">
        <v>0.20454545454545456</v>
      </c>
      <c r="P253" s="13">
        <f t="shared" si="13"/>
        <v>0.17405764966740578</v>
      </c>
    </row>
    <row r="254" spans="2:19" x14ac:dyDescent="0.25">
      <c r="B254" s="8" t="s">
        <v>76</v>
      </c>
      <c r="C254" s="5">
        <v>0.67624810892586984</v>
      </c>
      <c r="D254" s="5">
        <v>0.30681818181818177</v>
      </c>
      <c r="F254" s="13">
        <f t="shared" si="12"/>
        <v>-0.36942992710768807</v>
      </c>
      <c r="L254" s="8" t="s">
        <v>76</v>
      </c>
      <c r="M254" s="5">
        <v>3.4795763993948563E-2</v>
      </c>
      <c r="N254" s="5">
        <v>0.26136363636363635</v>
      </c>
      <c r="P254" s="13">
        <f t="shared" si="13"/>
        <v>0.22656787236968778</v>
      </c>
    </row>
    <row r="255" spans="2:19" x14ac:dyDescent="0.25">
      <c r="B255" s="8" t="s">
        <v>77</v>
      </c>
      <c r="C255" s="5">
        <f>SUM(C243,C246)</f>
        <v>0.64599092284417547</v>
      </c>
      <c r="D255" s="5">
        <f>SUM(D243,D246)</f>
        <v>0.69318181818181823</v>
      </c>
      <c r="F255" s="13">
        <f t="shared" si="12"/>
        <v>4.7190895337642758E-2</v>
      </c>
      <c r="L255" s="8" t="s">
        <v>77</v>
      </c>
      <c r="M255" s="5">
        <v>0.3010590015128593</v>
      </c>
      <c r="N255" s="5">
        <v>0.13636363636363635</v>
      </c>
      <c r="P255" s="13">
        <f t="shared" si="13"/>
        <v>-0.16469536514922295</v>
      </c>
    </row>
    <row r="256" spans="2:19" x14ac:dyDescent="0.25">
      <c r="B256" s="8" t="s">
        <v>78</v>
      </c>
      <c r="C256" s="5">
        <v>0.30408472012102872</v>
      </c>
      <c r="D256" s="5">
        <v>0.11363636363636363</v>
      </c>
      <c r="F256" s="13">
        <f t="shared" si="12"/>
        <v>-0.19044835648466507</v>
      </c>
      <c r="L256" s="8" t="s">
        <v>78</v>
      </c>
      <c r="M256" s="5">
        <v>7.1104387291981846E-2</v>
      </c>
      <c r="N256" s="5">
        <v>4.5454545454545456E-2</v>
      </c>
      <c r="P256" s="13">
        <f t="shared" si="13"/>
        <v>-2.5649841837436391E-2</v>
      </c>
    </row>
    <row r="257" spans="2:16" x14ac:dyDescent="0.25">
      <c r="B257" s="8" t="s">
        <v>79</v>
      </c>
      <c r="C257" s="5">
        <v>0.1558245083207262</v>
      </c>
      <c r="D257" s="5">
        <v>5.6818181818181823E-2</v>
      </c>
      <c r="F257" s="13">
        <f t="shared" si="12"/>
        <v>-9.9006326502544373E-2</v>
      </c>
      <c r="L257" s="8" t="s">
        <v>79</v>
      </c>
      <c r="M257" s="5">
        <v>2.4205748865355523E-2</v>
      </c>
      <c r="N257" s="5">
        <v>1.1363636363636364E-2</v>
      </c>
      <c r="P257" s="13">
        <f t="shared" si="13"/>
        <v>-1.2842112501719159E-2</v>
      </c>
    </row>
    <row r="258" spans="2:16" x14ac:dyDescent="0.25">
      <c r="B258" s="8" t="s">
        <v>80</v>
      </c>
      <c r="C258" s="5">
        <v>0.12405446293494705</v>
      </c>
      <c r="D258" s="5">
        <v>5.6818181818181823E-2</v>
      </c>
      <c r="F258" s="13">
        <f t="shared" si="12"/>
        <v>-6.7236281116765231E-2</v>
      </c>
      <c r="L258" s="8" t="s">
        <v>80</v>
      </c>
      <c r="M258" s="5">
        <v>2.2692889561270801E-2</v>
      </c>
      <c r="N258" s="5">
        <v>1.1363636363636364E-2</v>
      </c>
      <c r="P258" s="13">
        <f t="shared" si="13"/>
        <v>-1.1329253197634438E-2</v>
      </c>
    </row>
    <row r="259" spans="2:16" x14ac:dyDescent="0.25">
      <c r="B259" s="8" t="s">
        <v>81</v>
      </c>
      <c r="C259" s="5">
        <v>0.59152798789712557</v>
      </c>
      <c r="D259" s="5">
        <v>0.22727272727272727</v>
      </c>
      <c r="F259" s="13">
        <f t="shared" si="12"/>
        <v>-0.36425526062439828</v>
      </c>
      <c r="L259" s="8" t="s">
        <v>81</v>
      </c>
      <c r="M259" s="5">
        <v>0.21482602118003025</v>
      </c>
      <c r="N259" s="5">
        <v>9.0909090909090912E-2</v>
      </c>
      <c r="P259" s="13">
        <f t="shared" si="13"/>
        <v>-0.12391693027093933</v>
      </c>
    </row>
    <row r="260" spans="2:16" x14ac:dyDescent="0.25">
      <c r="B260" s="8" t="s">
        <v>82</v>
      </c>
      <c r="C260" s="5">
        <v>0.35400907715582453</v>
      </c>
      <c r="D260" s="5">
        <v>0.28409090909090906</v>
      </c>
      <c r="F260" s="13">
        <f t="shared" si="12"/>
        <v>-6.9918168064915465E-2</v>
      </c>
      <c r="L260" s="8" t="s">
        <v>82</v>
      </c>
      <c r="M260" s="5">
        <v>9.3797276853252648E-2</v>
      </c>
      <c r="N260" s="5">
        <v>0.15909090909090909</v>
      </c>
      <c r="P260" s="13">
        <f t="shared" si="13"/>
        <v>6.529363223765644E-2</v>
      </c>
    </row>
    <row r="261" spans="2:16" x14ac:dyDescent="0.25">
      <c r="B261" s="8" t="s">
        <v>83</v>
      </c>
      <c r="C261" s="5">
        <v>0.95158850226928893</v>
      </c>
      <c r="D261" s="5">
        <v>0.875</v>
      </c>
      <c r="F261" s="13">
        <f t="shared" si="12"/>
        <v>-7.6588502269288927E-2</v>
      </c>
      <c r="L261" s="8" t="s">
        <v>83</v>
      </c>
      <c r="M261" s="5">
        <v>0.35854765506807867</v>
      </c>
      <c r="N261" s="5">
        <v>0.43181818181818182</v>
      </c>
      <c r="P261" s="13">
        <f t="shared" si="13"/>
        <v>7.3270526750103149E-2</v>
      </c>
    </row>
    <row r="262" spans="2:16" x14ac:dyDescent="0.25">
      <c r="B262" s="8" t="s">
        <v>84</v>
      </c>
      <c r="C262" s="5">
        <v>0.28441754916792739</v>
      </c>
      <c r="D262" s="5">
        <v>0.13636363636363635</v>
      </c>
      <c r="F262" s="13">
        <f t="shared" si="12"/>
        <v>-0.14805391280429103</v>
      </c>
      <c r="L262" s="8" t="s">
        <v>84</v>
      </c>
      <c r="M262" s="5">
        <v>4.8411497730711045E-2</v>
      </c>
      <c r="N262" s="5">
        <v>4.5454545454545456E-2</v>
      </c>
      <c r="P262" s="13">
        <f t="shared" si="13"/>
        <v>-2.9569522761655892E-3</v>
      </c>
    </row>
    <row r="263" spans="2:16" x14ac:dyDescent="0.25">
      <c r="B263" s="8" t="s">
        <v>85</v>
      </c>
      <c r="C263" s="5">
        <v>0.76096822995461422</v>
      </c>
      <c r="D263" s="5">
        <v>0.79545454545454541</v>
      </c>
      <c r="F263" s="13">
        <f t="shared" si="12"/>
        <v>3.4486315499931197E-2</v>
      </c>
      <c r="L263" s="8" t="s">
        <v>85</v>
      </c>
      <c r="M263" s="5">
        <v>0</v>
      </c>
      <c r="N263" s="5">
        <v>0</v>
      </c>
      <c r="P263" s="13">
        <f t="shared" si="13"/>
        <v>0</v>
      </c>
    </row>
  </sheetData>
  <sortState xmlns:xlrd2="http://schemas.microsoft.com/office/spreadsheetml/2017/richdata2" ref="L15:N18">
    <sortCondition descending="1" ref="N14:N18"/>
  </sortState>
  <mergeCells count="12">
    <mergeCell ref="A186:A191"/>
    <mergeCell ref="M150:N150"/>
    <mergeCell ref="O150:P150"/>
    <mergeCell ref="M164:N164"/>
    <mergeCell ref="O164:P164"/>
    <mergeCell ref="A178:A182"/>
    <mergeCell ref="M232:N232"/>
    <mergeCell ref="O232:P232"/>
    <mergeCell ref="A195:A197"/>
    <mergeCell ref="A203:A204"/>
    <mergeCell ref="M217:N217"/>
    <mergeCell ref="O217:P217"/>
  </mergeCells>
  <conditionalFormatting sqref="F152:F16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52:R16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2:S16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66:F17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6:R17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6:S17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18:F2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9:R2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9:S2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34:F2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4:R2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4:S2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1:F2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51:P2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Gouldsborough</dc:creator>
  <cp:lastModifiedBy>Benard Muiruri</cp:lastModifiedBy>
  <dcterms:created xsi:type="dcterms:W3CDTF">2026-02-14T21:17:30Z</dcterms:created>
  <dcterms:modified xsi:type="dcterms:W3CDTF">2026-02-28T17:18:50Z</dcterms:modified>
</cp:coreProperties>
</file>