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13_ncr:1_{CAB72D06-6805-4714-B0E4-AE25B962DFE2}" xr6:coauthVersionLast="47" xr6:coauthVersionMax="47" xr10:uidLastSave="{00000000-0000-0000-0000-000000000000}"/>
  <bookViews>
    <workbookView xWindow="-110" yWindow="-110" windowWidth="19420" windowHeight="10300" activeTab="1" xr2:uid="{8B6AF2F9-4630-4149-93CD-7D5A0F579285}"/>
  </bookViews>
  <sheets>
    <sheet name="Mangrove" sheetId="1" r:id="rId1"/>
    <sheet name="Seaweed" sheetId="2" r:id="rId2"/>
    <sheet name="Forest" sheetId="3" r:id="rId3"/>
    <sheet name="GJJ" sheetId="4" r:id="rId4"/>
  </sheets>
  <definedNames>
    <definedName name="Assumptio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0" i="1" l="1"/>
  <c r="E66" i="4"/>
  <c r="D66" i="4"/>
  <c r="G66" i="4" s="1"/>
  <c r="G65" i="4"/>
  <c r="C65" i="4"/>
  <c r="F65" i="4" s="1"/>
  <c r="G64" i="4"/>
  <c r="F64" i="4"/>
  <c r="C64" i="4"/>
  <c r="G63" i="4"/>
  <c r="F63" i="4"/>
  <c r="C63" i="4"/>
  <c r="G62" i="4"/>
  <c r="C62" i="4"/>
  <c r="F62" i="4" s="1"/>
  <c r="G61" i="4"/>
  <c r="C61" i="4"/>
  <c r="F61" i="4" s="1"/>
  <c r="E56" i="4"/>
  <c r="G56" i="4" s="1"/>
  <c r="G55" i="4"/>
  <c r="C55" i="4"/>
  <c r="F55" i="4" s="1"/>
  <c r="G54" i="4"/>
  <c r="C54" i="4"/>
  <c r="F54" i="4" s="1"/>
  <c r="G53" i="4"/>
  <c r="C53" i="4"/>
  <c r="C56" i="4" s="1"/>
  <c r="G52" i="4"/>
  <c r="F52" i="4"/>
  <c r="C52" i="4"/>
  <c r="G51" i="4"/>
  <c r="C51" i="4"/>
  <c r="F51" i="4" s="1"/>
  <c r="E46" i="4"/>
  <c r="D44" i="4"/>
  <c r="G44" i="4" s="1"/>
  <c r="C44" i="4"/>
  <c r="F44" i="4" s="1"/>
  <c r="D42" i="4"/>
  <c r="G42" i="4" s="1"/>
  <c r="C42" i="4"/>
  <c r="F42" i="4" s="1"/>
  <c r="L34" i="4"/>
  <c r="K34" i="4"/>
  <c r="M34" i="4" s="1"/>
  <c r="L30" i="4"/>
  <c r="J30" i="4"/>
  <c r="I30" i="4"/>
  <c r="K30" i="4" s="1"/>
  <c r="M30" i="4" s="1"/>
  <c r="L26" i="4"/>
  <c r="K26" i="4"/>
  <c r="M26" i="4" s="1"/>
  <c r="M20" i="4"/>
  <c r="L20" i="4"/>
  <c r="K17" i="4"/>
  <c r="C45" i="4" s="1"/>
  <c r="F45" i="4" s="1"/>
  <c r="H17" i="4"/>
  <c r="M17" i="4" s="1"/>
  <c r="E17" i="4"/>
  <c r="M13" i="4"/>
  <c r="L13" i="4"/>
  <c r="F56" i="4" l="1"/>
  <c r="C41" i="4"/>
  <c r="C43" i="4"/>
  <c r="F43" i="4" s="1"/>
  <c r="F53" i="4"/>
  <c r="L17" i="4"/>
  <c r="D41" i="4"/>
  <c r="D43" i="4"/>
  <c r="G43" i="4" s="1"/>
  <c r="D45" i="4"/>
  <c r="G45" i="4" s="1"/>
  <c r="C66" i="4"/>
  <c r="F66" i="4" s="1"/>
  <c r="C46" i="4" l="1"/>
  <c r="F46" i="4" s="1"/>
  <c r="F41" i="4"/>
  <c r="G41" i="4"/>
  <c r="D46" i="4"/>
  <c r="G46" i="4" s="1"/>
  <c r="E76" i="3" l="1"/>
  <c r="F75" i="3"/>
  <c r="D75" i="3"/>
  <c r="G75" i="3" s="1"/>
  <c r="C75" i="3"/>
  <c r="F74" i="3"/>
  <c r="D74" i="3"/>
  <c r="G74" i="3" s="1"/>
  <c r="C74" i="3"/>
  <c r="F73" i="3"/>
  <c r="D73" i="3"/>
  <c r="G73" i="3" s="1"/>
  <c r="C73" i="3"/>
  <c r="F72" i="3"/>
  <c r="D72" i="3"/>
  <c r="G72" i="3" s="1"/>
  <c r="C72" i="3"/>
  <c r="F71" i="3"/>
  <c r="D71" i="3"/>
  <c r="G71" i="3" s="1"/>
  <c r="C71" i="3"/>
  <c r="F70" i="3"/>
  <c r="D70" i="3"/>
  <c r="C70" i="3"/>
  <c r="F69" i="3"/>
  <c r="D69" i="3"/>
  <c r="G69" i="3" s="1"/>
  <c r="C69" i="3"/>
  <c r="C76" i="3" s="1"/>
  <c r="C77" i="3" s="1"/>
  <c r="F77" i="3" s="1"/>
  <c r="E63" i="3"/>
  <c r="G63" i="3" s="1"/>
  <c r="G62" i="3"/>
  <c r="F62" i="3"/>
  <c r="D62" i="3"/>
  <c r="C62" i="3"/>
  <c r="G61" i="3"/>
  <c r="F61" i="3"/>
  <c r="D61" i="3"/>
  <c r="C61" i="3"/>
  <c r="G60" i="3"/>
  <c r="F60" i="3"/>
  <c r="D60" i="3"/>
  <c r="C60" i="3"/>
  <c r="G59" i="3"/>
  <c r="F59" i="3"/>
  <c r="D59" i="3"/>
  <c r="C59" i="3"/>
  <c r="G58" i="3"/>
  <c r="F58" i="3"/>
  <c r="D58" i="3"/>
  <c r="C58" i="3"/>
  <c r="G57" i="3"/>
  <c r="F57" i="3"/>
  <c r="D57" i="3"/>
  <c r="D63" i="3" s="1"/>
  <c r="D64" i="3" s="1"/>
  <c r="G64" i="3" s="1"/>
  <c r="C57" i="3"/>
  <c r="G56" i="3"/>
  <c r="F56" i="3"/>
  <c r="D56" i="3"/>
  <c r="C56" i="3"/>
  <c r="E50" i="3"/>
  <c r="M36" i="3"/>
  <c r="K36" i="3"/>
  <c r="L32" i="3"/>
  <c r="K32" i="3"/>
  <c r="M32" i="3" s="1"/>
  <c r="J32" i="3"/>
  <c r="I32" i="3"/>
  <c r="K28" i="3"/>
  <c r="M28" i="3" s="1"/>
  <c r="J28" i="3"/>
  <c r="I28" i="3"/>
  <c r="M22" i="3"/>
  <c r="L22" i="3"/>
  <c r="K17" i="3"/>
  <c r="C48" i="3" s="1"/>
  <c r="F48" i="3" s="1"/>
  <c r="H17" i="3"/>
  <c r="D48" i="3" s="1"/>
  <c r="G48" i="3" s="1"/>
  <c r="E17" i="3"/>
  <c r="M13" i="3"/>
  <c r="L13" i="3"/>
  <c r="C43" i="3" l="1"/>
  <c r="C47" i="3"/>
  <c r="F47" i="3" s="1"/>
  <c r="L17" i="3"/>
  <c r="D43" i="3"/>
  <c r="D45" i="3"/>
  <c r="G45" i="3" s="1"/>
  <c r="D47" i="3"/>
  <c r="G47" i="3" s="1"/>
  <c r="D49" i="3"/>
  <c r="G49" i="3" s="1"/>
  <c r="C63" i="3"/>
  <c r="C64" i="3" s="1"/>
  <c r="F64" i="3" s="1"/>
  <c r="G70" i="3"/>
  <c r="F76" i="3"/>
  <c r="D76" i="3"/>
  <c r="G76" i="3" s="1"/>
  <c r="C45" i="3"/>
  <c r="F45" i="3" s="1"/>
  <c r="C49" i="3"/>
  <c r="F49" i="3" s="1"/>
  <c r="M17" i="3"/>
  <c r="C44" i="3"/>
  <c r="C46" i="3"/>
  <c r="F46" i="3" s="1"/>
  <c r="F63" i="3"/>
  <c r="D44" i="3"/>
  <c r="D46" i="3"/>
  <c r="G46" i="3" s="1"/>
  <c r="D50" i="3" l="1"/>
  <c r="G50" i="3" s="1"/>
  <c r="G43" i="3"/>
  <c r="C50" i="3"/>
  <c r="F50" i="3" s="1"/>
  <c r="F43" i="3"/>
  <c r="D77" i="3"/>
  <c r="G77" i="3" s="1"/>
  <c r="G44" i="3"/>
  <c r="D51" i="3"/>
  <c r="G51" i="3" s="1"/>
  <c r="F44" i="3"/>
  <c r="C51" i="3" l="1"/>
  <c r="F51" i="3" s="1"/>
  <c r="L13" i="2" l="1"/>
  <c r="M13" i="2"/>
  <c r="E17" i="2"/>
  <c r="H17" i="2"/>
  <c r="K17" i="2"/>
  <c r="C41" i="2" s="1"/>
  <c r="L17" i="2"/>
  <c r="M17" i="2"/>
  <c r="M20" i="2"/>
  <c r="E26" i="2"/>
  <c r="H26" i="2"/>
  <c r="K26" i="2"/>
  <c r="L26" i="2"/>
  <c r="M26" i="2"/>
  <c r="E30" i="2"/>
  <c r="H30" i="2"/>
  <c r="L30" i="2" s="1"/>
  <c r="I30" i="2"/>
  <c r="J30" i="2"/>
  <c r="K30" i="2"/>
  <c r="M30" i="2"/>
  <c r="E34" i="2"/>
  <c r="H34" i="2"/>
  <c r="L34" i="2" s="1"/>
  <c r="K34" i="2"/>
  <c r="D41" i="2"/>
  <c r="G41" i="2"/>
  <c r="C42" i="2"/>
  <c r="F42" i="2" s="1"/>
  <c r="D42" i="2"/>
  <c r="G42" i="2" s="1"/>
  <c r="D43" i="2"/>
  <c r="G43" i="2"/>
  <c r="C44" i="2"/>
  <c r="F44" i="2" s="1"/>
  <c r="D44" i="2"/>
  <c r="G44" i="2" s="1"/>
  <c r="D45" i="2"/>
  <c r="G45" i="2"/>
  <c r="D46" i="2"/>
  <c r="E46" i="2"/>
  <c r="C51" i="2"/>
  <c r="C56" i="2" s="1"/>
  <c r="F56" i="2" s="1"/>
  <c r="F51" i="2"/>
  <c r="G51" i="2"/>
  <c r="C52" i="2"/>
  <c r="F52" i="2"/>
  <c r="G52" i="2"/>
  <c r="C53" i="2"/>
  <c r="F53" i="2"/>
  <c r="G53" i="2"/>
  <c r="C54" i="2"/>
  <c r="F54" i="2"/>
  <c r="G54" i="2"/>
  <c r="C55" i="2"/>
  <c r="F55" i="2" s="1"/>
  <c r="G55" i="2"/>
  <c r="E56" i="2"/>
  <c r="G56" i="2"/>
  <c r="C61" i="2"/>
  <c r="F61" i="2"/>
  <c r="G61" i="2"/>
  <c r="C62" i="2"/>
  <c r="F62" i="2"/>
  <c r="G62" i="2"/>
  <c r="C63" i="2"/>
  <c r="F63" i="2"/>
  <c r="G63" i="2"/>
  <c r="C64" i="2"/>
  <c r="F64" i="2" s="1"/>
  <c r="G64" i="2"/>
  <c r="C65" i="2"/>
  <c r="F65" i="2"/>
  <c r="G65" i="2"/>
  <c r="D66" i="2"/>
  <c r="E66" i="2"/>
  <c r="E66" i="1"/>
  <c r="G66" i="1" s="1"/>
  <c r="G65" i="1"/>
  <c r="F65" i="1"/>
  <c r="G64" i="1"/>
  <c r="F64" i="1"/>
  <c r="C64" i="1"/>
  <c r="G63" i="1"/>
  <c r="C63" i="1"/>
  <c r="F63" i="1" s="1"/>
  <c r="G62" i="1"/>
  <c r="F62" i="1"/>
  <c r="C62" i="1"/>
  <c r="G61" i="1"/>
  <c r="C61" i="1"/>
  <c r="F61" i="1" s="1"/>
  <c r="E56" i="1"/>
  <c r="G56" i="1" s="1"/>
  <c r="C56" i="1"/>
  <c r="G55" i="1"/>
  <c r="F55" i="1"/>
  <c r="G54" i="1"/>
  <c r="F54" i="1"/>
  <c r="C54" i="1"/>
  <c r="G53" i="1"/>
  <c r="C53" i="1"/>
  <c r="F53" i="1" s="1"/>
  <c r="G52" i="1"/>
  <c r="F52" i="1"/>
  <c r="C52" i="1"/>
  <c r="G51" i="1"/>
  <c r="C51" i="1"/>
  <c r="F51" i="1" s="1"/>
  <c r="E46" i="1"/>
  <c r="G45" i="1"/>
  <c r="F45" i="1"/>
  <c r="K34" i="1"/>
  <c r="H34" i="1"/>
  <c r="M34" i="1" s="1"/>
  <c r="E34" i="1"/>
  <c r="J30" i="1"/>
  <c r="I30" i="1"/>
  <c r="K30" i="1" s="1"/>
  <c r="M30" i="1" s="1"/>
  <c r="H30" i="1"/>
  <c r="L30" i="1" s="1"/>
  <c r="E30" i="1"/>
  <c r="L26" i="1"/>
  <c r="K26" i="1"/>
  <c r="M26" i="1" s="1"/>
  <c r="H26" i="1"/>
  <c r="E26" i="1"/>
  <c r="K17" i="1"/>
  <c r="C43" i="1" s="1"/>
  <c r="F43" i="1" s="1"/>
  <c r="H17" i="1"/>
  <c r="D43" i="1" s="1"/>
  <c r="G43" i="1" s="1"/>
  <c r="E17" i="1"/>
  <c r="M13" i="1"/>
  <c r="F41" i="2" l="1"/>
  <c r="G46" i="2"/>
  <c r="C45" i="2"/>
  <c r="F45" i="2" s="1"/>
  <c r="C43" i="2"/>
  <c r="F43" i="2" s="1"/>
  <c r="C66" i="2"/>
  <c r="F66" i="2" s="1"/>
  <c r="G66" i="2"/>
  <c r="M34" i="2"/>
  <c r="L17" i="1"/>
  <c r="M17" i="1"/>
  <c r="C42" i="1"/>
  <c r="F42" i="1" s="1"/>
  <c r="C44" i="1"/>
  <c r="F44" i="1" s="1"/>
  <c r="D44" i="1"/>
  <c r="G44" i="1" s="1"/>
  <c r="L34" i="1"/>
  <c r="D42" i="1"/>
  <c r="G42" i="1" s="1"/>
  <c r="F56" i="1"/>
  <c r="C66" i="1"/>
  <c r="F66" i="1" s="1"/>
  <c r="C41" i="1"/>
  <c r="D41" i="1"/>
  <c r="C46" i="2" l="1"/>
  <c r="F46" i="2" s="1"/>
  <c r="G41" i="1"/>
  <c r="D46" i="1"/>
  <c r="G46" i="1" s="1"/>
  <c r="C46" i="1"/>
  <c r="F46" i="1" s="1"/>
  <c r="F41" i="1"/>
</calcChain>
</file>

<file path=xl/sharedStrings.xml><?xml version="1.0" encoding="utf-8"?>
<sst xmlns="http://schemas.openxmlformats.org/spreadsheetml/2006/main" count="503" uniqueCount="68">
  <si>
    <t>COSME Project - Mangrove</t>
  </si>
  <si>
    <t>Output &amp; Activity Data</t>
  </si>
  <si>
    <t>Reporting Period: SAR Y3</t>
  </si>
  <si>
    <t>Last Update: November 2025</t>
  </si>
  <si>
    <r>
      <t>Output 1112: </t>
    </r>
    <r>
      <rPr>
        <b/>
        <sz val="11"/>
        <rFont val="Arial"/>
        <family val="2"/>
      </rPr>
      <t>Members of mangrove groups</t>
    </r>
    <r>
      <rPr>
        <b/>
        <strike/>
        <sz val="11"/>
        <color rgb="FFFF0000"/>
        <rFont val="Arial"/>
        <family val="2"/>
      </rPr>
      <t> </t>
    </r>
    <r>
      <rPr>
        <b/>
        <sz val="11"/>
        <rFont val="Arial"/>
        <family val="2"/>
      </rPr>
      <t>trained and coached in mangrove restoration and conservation</t>
    </r>
    <r>
      <rPr>
        <sz val="11"/>
        <rFont val="Arial"/>
        <family val="2"/>
      </rPr>
      <t> </t>
    </r>
  </si>
  <si>
    <t>REGISTRATION</t>
  </si>
  <si>
    <t>Y2</t>
  </si>
  <si>
    <t>Y3 (SA)</t>
  </si>
  <si>
    <t>Overall Target</t>
  </si>
  <si>
    <t>Y3 (SA) - Y2</t>
  </si>
  <si>
    <t>% Achieved</t>
  </si>
  <si>
    <t>Notes</t>
  </si>
  <si>
    <t>Number of Groups</t>
  </si>
  <si>
    <t>4 groups dropped ou before training, 3 new groups were registered</t>
  </si>
  <si>
    <t>Female</t>
  </si>
  <si>
    <t>Male</t>
  </si>
  <si>
    <t>All</t>
  </si>
  <si>
    <t>Members Registered</t>
  </si>
  <si>
    <t>Number of Modules Imparted</t>
  </si>
  <si>
    <t>TRAINING (STRICT THRESHOLD)</t>
  </si>
  <si>
    <t>Members Trained (3 and above)</t>
  </si>
  <si>
    <r>
      <t xml:space="preserve">Overall </t>
    </r>
    <r>
      <rPr>
        <b/>
        <u/>
        <sz val="11"/>
        <color theme="1"/>
        <rFont val="Calibri"/>
        <family val="2"/>
        <scheme val="minor"/>
      </rPr>
      <t>Registered</t>
    </r>
  </si>
  <si>
    <t>Members Trained (3 modules and above)</t>
  </si>
  <si>
    <t>Kilifi</t>
  </si>
  <si>
    <t>Kwale</t>
  </si>
  <si>
    <t>TRAINING (SOFT THRESHOLD)</t>
  </si>
  <si>
    <t>Add soft Threshold analysis</t>
  </si>
  <si>
    <t>Participants completing Mangrove Training by module (All)</t>
  </si>
  <si>
    <t>Modules</t>
  </si>
  <si>
    <t>Target</t>
  </si>
  <si>
    <t>Registered</t>
  </si>
  <si>
    <t>Completed</t>
  </si>
  <si>
    <t>Target(%)</t>
  </si>
  <si>
    <t>Reg(%)</t>
  </si>
  <si>
    <t>Module 1</t>
  </si>
  <si>
    <t>Module 2</t>
  </si>
  <si>
    <t>Module 3</t>
  </si>
  <si>
    <t>Module 4</t>
  </si>
  <si>
    <t>Module 5</t>
  </si>
  <si>
    <t>Grand Total</t>
  </si>
  <si>
    <t>Participants completeing Mangrove Training by module (Male)</t>
  </si>
  <si>
    <t>Participants completeing Mangrove Training by module (Female)</t>
  </si>
  <si>
    <t>Reporting Period: AR Y3</t>
  </si>
  <si>
    <t xml:space="preserve">Last Update: </t>
  </si>
  <si>
    <t>Participants completeing Seaweed Training by module (Female)</t>
  </si>
  <si>
    <t>Participants completeing Seaweed Training by module (Male)</t>
  </si>
  <si>
    <t>Participants completing Seaweed Training by module (All)</t>
  </si>
  <si>
    <t>2 groups merged into one group hence reduction from 20 y2 to 19 y3</t>
  </si>
  <si>
    <r>
      <t>Output 1122: </t>
    </r>
    <r>
      <rPr>
        <b/>
        <sz val="11"/>
        <rFont val="Arial"/>
        <family val="2"/>
      </rPr>
      <t>Women-led seaweed groups trained in seaweed production, value addition and commercialization</t>
    </r>
  </si>
  <si>
    <t>COSME Project - Seaweed</t>
  </si>
  <si>
    <t>COSME Project -Forestry</t>
  </si>
  <si>
    <t>Output 1131: Targeted local communities, especially women, trained in gender-responsive forest management and community-centred conservation</t>
  </si>
  <si>
    <t>Members Trained (5m and above)</t>
  </si>
  <si>
    <t>ND</t>
  </si>
  <si>
    <t>N/A</t>
  </si>
  <si>
    <t>Participants completing Forestry Training by module (All) - Y3 (SA)</t>
  </si>
  <si>
    <t>Module 6</t>
  </si>
  <si>
    <t>Module 7</t>
  </si>
  <si>
    <t>Reference - Y2</t>
  </si>
  <si>
    <t>Participants completeing Forestry Training by module (Male) - Y3 (SA)</t>
  </si>
  <si>
    <t>Participants completeing Forestry Training by module (Female) - Y3 (SA)</t>
  </si>
  <si>
    <t>ND: No data available</t>
  </si>
  <si>
    <t>COSME Project - GJJ</t>
  </si>
  <si>
    <r>
      <t>Output 1211: </t>
    </r>
    <r>
      <rPr>
        <b/>
        <sz val="11"/>
        <rFont val="Arial"/>
        <family val="2"/>
      </rPr>
      <t>Targeted women trained on gender responsive NbS, economic rights, life skills, &amp; GE&amp;I, including UPCW</t>
    </r>
  </si>
  <si>
    <t>Terrestrial and Mangrove surpassed project target groups</t>
  </si>
  <si>
    <t>Participants completing GJJ Training by module (All)</t>
  </si>
  <si>
    <t>Participants completeing GJJ Training by module (Male)</t>
  </si>
  <si>
    <t>Participants completeing GJJ Training by module (Female)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</si>
</sst>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trike/>
      <sz val="11"/>
      <color rgb="FFFF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A3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2" fillId="2" borderId="4" xfId="0" applyFont="1" applyFill="1" applyBorder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0" xfId="0" applyFont="1"/>
    <xf numFmtId="9" fontId="0" fillId="0" borderId="0" xfId="1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9" fontId="0" fillId="4" borderId="4" xfId="1" applyFont="1" applyFill="1" applyBorder="1" applyAlignment="1">
      <alignment horizontal="center"/>
    </xf>
    <xf numFmtId="2" fontId="0" fillId="0" borderId="0" xfId="0" applyNumberFormat="1"/>
    <xf numFmtId="0" fontId="0" fillId="5" borderId="0" xfId="0" applyFill="1"/>
    <xf numFmtId="0" fontId="13" fillId="0" borderId="0" xfId="0" applyFont="1"/>
    <xf numFmtId="0" fontId="2" fillId="6" borderId="4" xfId="3" applyFont="1" applyFill="1" applyBorder="1" applyAlignment="1">
      <alignment horizontal="center"/>
    </xf>
    <xf numFmtId="0" fontId="1" fillId="0" borderId="4" xfId="2" applyBorder="1" applyAlignment="1">
      <alignment horizontal="left"/>
    </xf>
    <xf numFmtId="0" fontId="1" fillId="0" borderId="4" xfId="2" applyBorder="1" applyAlignment="1">
      <alignment horizontal="center"/>
    </xf>
    <xf numFmtId="9" fontId="1" fillId="0" borderId="4" xfId="2" applyNumberFormat="1" applyBorder="1" applyAlignment="1">
      <alignment horizontal="center"/>
    </xf>
    <xf numFmtId="0" fontId="2" fillId="0" borderId="4" xfId="2" applyFont="1" applyBorder="1" applyAlignment="1">
      <alignment horizontal="left"/>
    </xf>
    <xf numFmtId="0" fontId="2" fillId="0" borderId="4" xfId="2" applyFont="1" applyBorder="1" applyAlignment="1">
      <alignment horizontal="center"/>
    </xf>
    <xf numFmtId="1" fontId="2" fillId="4" borderId="4" xfId="2" applyNumberFormat="1" applyFont="1" applyFill="1" applyBorder="1" applyAlignment="1">
      <alignment horizontal="center"/>
    </xf>
    <xf numFmtId="9" fontId="2" fillId="4" borderId="4" xfId="2" applyNumberFormat="1" applyFont="1" applyFill="1" applyBorder="1" applyAlignment="1">
      <alignment horizontal="center"/>
    </xf>
    <xf numFmtId="9" fontId="2" fillId="0" borderId="4" xfId="2" applyNumberFormat="1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center"/>
    </xf>
    <xf numFmtId="0" fontId="0" fillId="3" borderId="4" xfId="2" applyFont="1" applyFill="1" applyBorder="1" applyAlignment="1">
      <alignment horizontal="left"/>
    </xf>
    <xf numFmtId="0" fontId="0" fillId="3" borderId="4" xfId="2" applyFont="1" applyFill="1" applyBorder="1" applyAlignment="1">
      <alignment horizontal="center"/>
    </xf>
    <xf numFmtId="9" fontId="0" fillId="3" borderId="4" xfId="2" applyNumberFormat="1" applyFont="1" applyFill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6" borderId="4" xfId="2" applyFont="1" applyFill="1" applyBorder="1" applyAlignment="1">
      <alignment horizontal="left"/>
    </xf>
    <xf numFmtId="0" fontId="2" fillId="6" borderId="4" xfId="3" applyFont="1" applyFill="1" applyBorder="1" applyAlignment="1">
      <alignment horizontal="center"/>
    </xf>
  </cellXfs>
  <cellStyles count="4">
    <cellStyle name="Normal" xfId="0" builtinId="0"/>
    <cellStyle name="Normal 4" xfId="2" xr:uid="{C4B7BFB1-AAA8-4C08-9BE7-9C413399DA15}"/>
    <cellStyle name="Normal 4 2" xfId="3" xr:uid="{5EC4795A-A3DD-4BD9-A129-C5C84AD540E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-57150</xdr:rowOff>
    </xdr:from>
    <xdr:to>
      <xdr:col>0</xdr:col>
      <xdr:colOff>66675</xdr:colOff>
      <xdr:row>0</xdr:row>
      <xdr:rowOff>-57150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A1054D-EF18-4C75-A0F6-805908435CEF}"/>
            </a:ext>
          </a:extLst>
        </xdr:cNvPr>
        <xdr:cNvSpPr txBox="1"/>
      </xdr:nvSpPr>
      <xdr:spPr>
        <a:xfrm>
          <a:off x="69850" y="-571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1"/>
            <a:t>Narrative Summary</a:t>
          </a:r>
        </a:p>
        <a:p>
          <a:endParaRPr lang="en-CA" b="1"/>
        </a:p>
        <a:p>
          <a:endParaRPr lang="en-CA">
            <a:solidFill>
              <a:srgbClr val="FF0000"/>
            </a:solidFill>
          </a:endParaRPr>
        </a:p>
        <a:p>
          <a:r>
            <a:rPr lang="en-CA" b="1">
              <a:solidFill>
                <a:sysClr val="windowText" lastClr="000000"/>
              </a:solidFill>
            </a:rPr>
            <a:t>Insights </a:t>
          </a:r>
        </a:p>
        <a:p>
          <a:endParaRPr lang="en-CA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CA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C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ecommendations</a:t>
          </a:r>
          <a:endParaRPr lang="en-CA">
            <a:effectLst/>
          </a:endParaRPr>
        </a:p>
        <a:p>
          <a:endParaRPr lang="en-CA"/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7BA7-9013-4DE0-B033-81922746194C}">
  <sheetPr>
    <tabColor rgb="FF00B050"/>
  </sheetPr>
  <dimension ref="B2:P93"/>
  <sheetViews>
    <sheetView topLeftCell="A42" zoomScale="115" zoomScaleNormal="115" workbookViewId="0">
      <selection activeCell="J38" sqref="J38"/>
    </sheetView>
  </sheetViews>
  <sheetFormatPr defaultRowHeight="15" x14ac:dyDescent="0.25"/>
  <cols>
    <col min="1" max="1" width="3.140625" customWidth="1"/>
    <col min="2" max="2" width="29.85546875" customWidth="1"/>
    <col min="3" max="11" width="9.7109375" customWidth="1"/>
    <col min="12" max="13" width="11.42578125" customWidth="1"/>
    <col min="14" max="14" width="2.7109375" customWidth="1"/>
    <col min="15" max="15" width="66.5703125" customWidth="1"/>
  </cols>
  <sheetData>
    <row r="2" spans="2:15" ht="21" x14ac:dyDescent="0.35">
      <c r="B2" s="1" t="s">
        <v>0</v>
      </c>
    </row>
    <row r="3" spans="2:15" ht="21" x14ac:dyDescent="0.35">
      <c r="B3" s="1" t="s">
        <v>1</v>
      </c>
    </row>
    <row r="4" spans="2:15" ht="9" customHeight="1" x14ac:dyDescent="0.35">
      <c r="B4" s="1"/>
    </row>
    <row r="5" spans="2:15" x14ac:dyDescent="0.25">
      <c r="B5" s="2" t="s">
        <v>2</v>
      </c>
    </row>
    <row r="6" spans="2:15" s="3" customFormat="1" ht="12" x14ac:dyDescent="0.2">
      <c r="B6" s="2" t="s">
        <v>3</v>
      </c>
    </row>
    <row r="8" spans="2:15" x14ac:dyDescent="0.25">
      <c r="B8" s="4" t="s">
        <v>4</v>
      </c>
    </row>
    <row r="9" spans="2:15" x14ac:dyDescent="0.25">
      <c r="B9" s="5"/>
    </row>
    <row r="10" spans="2:15" x14ac:dyDescent="0.25">
      <c r="B10" s="6" t="s">
        <v>5</v>
      </c>
    </row>
    <row r="11" spans="2:15" x14ac:dyDescent="0.25">
      <c r="B11" s="6"/>
    </row>
    <row r="12" spans="2:15" x14ac:dyDescent="0.25">
      <c r="C12" s="35" t="s">
        <v>6</v>
      </c>
      <c r="D12" s="36"/>
      <c r="E12" s="37"/>
      <c r="F12" s="38" t="s">
        <v>7</v>
      </c>
      <c r="G12" s="38"/>
      <c r="H12" s="38"/>
      <c r="I12" s="39" t="s">
        <v>8</v>
      </c>
      <c r="J12" s="39"/>
      <c r="K12" s="39"/>
      <c r="L12" s="7" t="s">
        <v>9</v>
      </c>
      <c r="M12" s="7" t="s">
        <v>10</v>
      </c>
      <c r="O12" s="7" t="s">
        <v>11</v>
      </c>
    </row>
    <row r="13" spans="2:15" x14ac:dyDescent="0.25">
      <c r="B13" s="8" t="s">
        <v>12</v>
      </c>
      <c r="C13" s="40">
        <v>39</v>
      </c>
      <c r="D13" s="40"/>
      <c r="E13" s="40"/>
      <c r="F13" s="40">
        <v>42</v>
      </c>
      <c r="G13" s="40"/>
      <c r="H13" s="40"/>
      <c r="I13" s="40">
        <v>40</v>
      </c>
      <c r="J13" s="40"/>
      <c r="K13" s="40"/>
      <c r="L13" s="9">
        <v>2</v>
      </c>
      <c r="M13" s="10">
        <f>F13/I13</f>
        <v>1.05</v>
      </c>
      <c r="O13" s="41" t="s">
        <v>13</v>
      </c>
    </row>
    <row r="14" spans="2:15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O14" s="41"/>
    </row>
    <row r="15" spans="2:15" x14ac:dyDescent="0.25">
      <c r="C15" s="35" t="s">
        <v>6</v>
      </c>
      <c r="D15" s="36"/>
      <c r="E15" s="37"/>
      <c r="F15" s="38" t="s">
        <v>7</v>
      </c>
      <c r="G15" s="38"/>
      <c r="H15" s="38"/>
      <c r="I15" s="39" t="s">
        <v>8</v>
      </c>
      <c r="J15" s="39"/>
      <c r="K15" s="39"/>
      <c r="L15" s="42" t="s">
        <v>9</v>
      </c>
      <c r="M15" s="42" t="s">
        <v>10</v>
      </c>
      <c r="O15" s="41"/>
    </row>
    <row r="16" spans="2:15" x14ac:dyDescent="0.25">
      <c r="C16" s="7" t="s">
        <v>14</v>
      </c>
      <c r="D16" s="7" t="s">
        <v>15</v>
      </c>
      <c r="E16" s="7" t="s">
        <v>16</v>
      </c>
      <c r="F16" s="12" t="s">
        <v>14</v>
      </c>
      <c r="G16" s="12" t="s">
        <v>15</v>
      </c>
      <c r="H16" s="12" t="s">
        <v>16</v>
      </c>
      <c r="I16" s="7" t="s">
        <v>14</v>
      </c>
      <c r="J16" s="7" t="s">
        <v>15</v>
      </c>
      <c r="K16" s="7" t="s">
        <v>16</v>
      </c>
      <c r="L16" s="43"/>
      <c r="M16" s="43"/>
      <c r="O16" s="41"/>
    </row>
    <row r="17" spans="2:15" x14ac:dyDescent="0.25">
      <c r="B17" s="8" t="s">
        <v>17</v>
      </c>
      <c r="C17" s="9">
        <v>854</v>
      </c>
      <c r="D17" s="9">
        <v>297</v>
      </c>
      <c r="E17" s="9">
        <f>SUM(C17:D17)</f>
        <v>1151</v>
      </c>
      <c r="F17" s="9">
        <v>973</v>
      </c>
      <c r="G17" s="9">
        <v>371</v>
      </c>
      <c r="H17" s="9">
        <f>SUM(F17:G17)</f>
        <v>1344</v>
      </c>
      <c r="I17" s="9">
        <v>840</v>
      </c>
      <c r="J17" s="9">
        <v>360</v>
      </c>
      <c r="K17" s="9">
        <f>SUM(I17:J17)</f>
        <v>1200</v>
      </c>
      <c r="L17" s="9">
        <f>H17-E17</f>
        <v>193</v>
      </c>
      <c r="M17" s="10">
        <f>H17/K17</f>
        <v>1.1200000000000001</v>
      </c>
      <c r="O17" s="41"/>
    </row>
    <row r="18" spans="2:15" x14ac:dyDescent="0.25">
      <c r="B18" s="1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4"/>
      <c r="O18" s="41"/>
    </row>
    <row r="19" spans="2:15" x14ac:dyDescent="0.25">
      <c r="C19" s="35" t="s">
        <v>6</v>
      </c>
      <c r="D19" s="36"/>
      <c r="E19" s="37"/>
      <c r="F19" s="38" t="s">
        <v>7</v>
      </c>
      <c r="G19" s="38"/>
      <c r="H19" s="38"/>
      <c r="I19" s="39" t="s">
        <v>8</v>
      </c>
      <c r="J19" s="39"/>
      <c r="K19" s="39"/>
      <c r="L19" s="7" t="s">
        <v>9</v>
      </c>
      <c r="M19" s="7" t="s">
        <v>10</v>
      </c>
      <c r="O19" s="41"/>
    </row>
    <row r="20" spans="2:15" x14ac:dyDescent="0.25">
      <c r="B20" s="8" t="s">
        <v>18</v>
      </c>
      <c r="C20" s="40">
        <v>2</v>
      </c>
      <c r="D20" s="40"/>
      <c r="E20" s="40"/>
      <c r="F20" s="40">
        <v>4</v>
      </c>
      <c r="G20" s="40"/>
      <c r="H20" s="40"/>
      <c r="I20" s="40">
        <v>5</v>
      </c>
      <c r="J20" s="40"/>
      <c r="K20" s="40"/>
      <c r="L20" s="9">
        <v>5</v>
      </c>
      <c r="M20" s="10">
        <f>F20/I20</f>
        <v>0.8</v>
      </c>
      <c r="O20" s="41"/>
    </row>
    <row r="21" spans="2:15" x14ac:dyDescent="0.25">
      <c r="B21" s="1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4"/>
    </row>
    <row r="22" spans="2:15" hidden="1" x14ac:dyDescent="0.25">
      <c r="B22" s="6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2:15" hidden="1" x14ac:dyDescent="0.2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2:15" hidden="1" x14ac:dyDescent="0.25">
      <c r="C24" s="35" t="s">
        <v>6</v>
      </c>
      <c r="D24" s="36"/>
      <c r="E24" s="37"/>
      <c r="F24" s="38" t="s">
        <v>7</v>
      </c>
      <c r="G24" s="38"/>
      <c r="H24" s="38"/>
      <c r="I24" s="39" t="s">
        <v>8</v>
      </c>
      <c r="J24" s="39"/>
      <c r="K24" s="39"/>
      <c r="L24" s="42" t="s">
        <v>9</v>
      </c>
      <c r="M24" s="42" t="s">
        <v>10</v>
      </c>
    </row>
    <row r="25" spans="2:15" hidden="1" x14ac:dyDescent="0.25">
      <c r="C25" s="7" t="s">
        <v>14</v>
      </c>
      <c r="D25" s="7" t="s">
        <v>15</v>
      </c>
      <c r="E25" s="7" t="s">
        <v>16</v>
      </c>
      <c r="F25" s="12" t="s">
        <v>14</v>
      </c>
      <c r="G25" s="12" t="s">
        <v>15</v>
      </c>
      <c r="H25" s="12" t="s">
        <v>16</v>
      </c>
      <c r="I25" s="7" t="s">
        <v>14</v>
      </c>
      <c r="J25" s="7" t="s">
        <v>15</v>
      </c>
      <c r="K25" s="7" t="s">
        <v>16</v>
      </c>
      <c r="L25" s="43"/>
      <c r="M25" s="43"/>
    </row>
    <row r="26" spans="2:15" hidden="1" x14ac:dyDescent="0.25">
      <c r="B26" s="8" t="s">
        <v>20</v>
      </c>
      <c r="C26" s="9">
        <v>0</v>
      </c>
      <c r="D26" s="9">
        <v>0</v>
      </c>
      <c r="E26" s="9">
        <f>SUM(C26:D26)</f>
        <v>0</v>
      </c>
      <c r="F26" s="9">
        <v>640</v>
      </c>
      <c r="G26" s="9">
        <v>27</v>
      </c>
      <c r="H26" s="15">
        <f>SUM(F26:G26)</f>
        <v>667</v>
      </c>
      <c r="I26" s="9">
        <v>840</v>
      </c>
      <c r="J26" s="9">
        <v>360</v>
      </c>
      <c r="K26" s="9">
        <f>SUM(I26:J26)</f>
        <v>1200</v>
      </c>
      <c r="L26" s="9">
        <f>H26-E26</f>
        <v>667</v>
      </c>
      <c r="M26" s="16">
        <f>H26/K26</f>
        <v>0.55583333333333329</v>
      </c>
    </row>
    <row r="27" spans="2:15" hidden="1" x14ac:dyDescent="0.25"/>
    <row r="28" spans="2:15" hidden="1" x14ac:dyDescent="0.25">
      <c r="B28" s="17"/>
      <c r="C28" s="35" t="s">
        <v>6</v>
      </c>
      <c r="D28" s="36"/>
      <c r="E28" s="37"/>
      <c r="F28" s="39" t="s">
        <v>7</v>
      </c>
      <c r="G28" s="39"/>
      <c r="H28" s="39"/>
      <c r="I28" s="39" t="s">
        <v>21</v>
      </c>
      <c r="J28" s="39"/>
      <c r="K28" s="39"/>
      <c r="L28" s="42" t="s">
        <v>9</v>
      </c>
      <c r="M28" s="42" t="s">
        <v>10</v>
      </c>
    </row>
    <row r="29" spans="2:15" hidden="1" x14ac:dyDescent="0.25">
      <c r="C29" s="7" t="s">
        <v>14</v>
      </c>
      <c r="D29" s="7" t="s">
        <v>15</v>
      </c>
      <c r="E29" s="7" t="s">
        <v>16</v>
      </c>
      <c r="F29" s="7" t="s">
        <v>14</v>
      </c>
      <c r="G29" s="7" t="s">
        <v>15</v>
      </c>
      <c r="H29" s="7" t="s">
        <v>16</v>
      </c>
      <c r="I29" s="7" t="s">
        <v>14</v>
      </c>
      <c r="J29" s="7" t="s">
        <v>15</v>
      </c>
      <c r="K29" s="7" t="s">
        <v>16</v>
      </c>
      <c r="L29" s="43"/>
      <c r="M29" s="43"/>
    </row>
    <row r="30" spans="2:15" hidden="1" x14ac:dyDescent="0.25">
      <c r="B30" s="8" t="s">
        <v>22</v>
      </c>
      <c r="C30" s="9">
        <v>0</v>
      </c>
      <c r="D30" s="9">
        <v>0</v>
      </c>
      <c r="E30" s="9">
        <f>SUM(C30:D30)</f>
        <v>0</v>
      </c>
      <c r="F30" s="9">
        <v>640</v>
      </c>
      <c r="G30" s="9">
        <v>27</v>
      </c>
      <c r="H30" s="9">
        <f>SUM(F30:G30)</f>
        <v>667</v>
      </c>
      <c r="I30" s="9">
        <f>F17</f>
        <v>973</v>
      </c>
      <c r="J30" s="9">
        <f>G17</f>
        <v>371</v>
      </c>
      <c r="K30" s="9">
        <f>SUM(I30:J30)</f>
        <v>1344</v>
      </c>
      <c r="L30" s="9">
        <f>H30-E30</f>
        <v>667</v>
      </c>
      <c r="M30" s="10">
        <f>H26/K30</f>
        <v>0.49627976190476192</v>
      </c>
    </row>
    <row r="31" spans="2:15" hidden="1" x14ac:dyDescent="0.25">
      <c r="B31" s="1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4"/>
    </row>
    <row r="32" spans="2:15" hidden="1" x14ac:dyDescent="0.25">
      <c r="B32" s="13"/>
      <c r="C32" s="35" t="s">
        <v>6</v>
      </c>
      <c r="D32" s="36"/>
      <c r="E32" s="37"/>
      <c r="F32" s="38" t="s">
        <v>7</v>
      </c>
      <c r="G32" s="38"/>
      <c r="H32" s="38"/>
      <c r="I32" s="39" t="s">
        <v>8</v>
      </c>
      <c r="J32" s="39"/>
      <c r="K32" s="39"/>
      <c r="L32" s="42" t="s">
        <v>9</v>
      </c>
      <c r="M32" s="42" t="s">
        <v>10</v>
      </c>
    </row>
    <row r="33" spans="2:16" hidden="1" x14ac:dyDescent="0.25">
      <c r="B33" s="13"/>
      <c r="C33" s="7" t="s">
        <v>23</v>
      </c>
      <c r="D33" s="7" t="s">
        <v>24</v>
      </c>
      <c r="E33" s="7" t="s">
        <v>16</v>
      </c>
      <c r="F33" s="12" t="s">
        <v>23</v>
      </c>
      <c r="G33" s="12" t="s">
        <v>24</v>
      </c>
      <c r="H33" s="12" t="s">
        <v>16</v>
      </c>
      <c r="I33" s="7" t="s">
        <v>23</v>
      </c>
      <c r="J33" s="7" t="s">
        <v>24</v>
      </c>
      <c r="K33" s="7" t="s">
        <v>16</v>
      </c>
      <c r="L33" s="43"/>
      <c r="M33" s="43"/>
    </row>
    <row r="34" spans="2:16" hidden="1" x14ac:dyDescent="0.25">
      <c r="B34" s="8" t="s">
        <v>20</v>
      </c>
      <c r="C34" s="9">
        <v>0</v>
      </c>
      <c r="D34" s="9">
        <v>0</v>
      </c>
      <c r="E34" s="9">
        <f>SUM(C34:D34)</f>
        <v>0</v>
      </c>
      <c r="F34" s="9">
        <v>313</v>
      </c>
      <c r="G34" s="9">
        <v>354</v>
      </c>
      <c r="H34" s="9">
        <f>SUM(F34:G34)</f>
        <v>667</v>
      </c>
      <c r="I34" s="9">
        <v>725</v>
      </c>
      <c r="J34" s="9">
        <v>476</v>
      </c>
      <c r="K34" s="9">
        <f>SUM(I34:J34)</f>
        <v>1201</v>
      </c>
      <c r="L34" s="9">
        <f>H34-E34</f>
        <v>667</v>
      </c>
      <c r="M34" s="10">
        <f>H34/K34</f>
        <v>0.55537052456286429</v>
      </c>
    </row>
    <row r="35" spans="2:16" hidden="1" x14ac:dyDescent="0.25"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4"/>
    </row>
    <row r="36" spans="2:16" x14ac:dyDescent="0.25">
      <c r="B36" s="6" t="s">
        <v>25</v>
      </c>
      <c r="P36" s="18" t="s">
        <v>26</v>
      </c>
    </row>
    <row r="37" spans="2:16" x14ac:dyDescent="0.25">
      <c r="B37" s="6"/>
    </row>
    <row r="38" spans="2:16" x14ac:dyDescent="0.25">
      <c r="B38" s="19" t="s">
        <v>27</v>
      </c>
    </row>
    <row r="39" spans="2:16" x14ac:dyDescent="0.25">
      <c r="B39" s="44" t="s">
        <v>28</v>
      </c>
      <c r="C39" s="45" t="s">
        <v>16</v>
      </c>
      <c r="D39" s="45"/>
      <c r="E39" s="45"/>
      <c r="F39" s="45"/>
      <c r="G39" s="45"/>
    </row>
    <row r="40" spans="2:16" x14ac:dyDescent="0.25">
      <c r="B40" s="44"/>
      <c r="C40" s="20" t="s">
        <v>29</v>
      </c>
      <c r="D40" s="20" t="s">
        <v>30</v>
      </c>
      <c r="E40" s="20" t="s">
        <v>31</v>
      </c>
      <c r="F40" s="20" t="s">
        <v>32</v>
      </c>
      <c r="G40" s="20" t="s">
        <v>33</v>
      </c>
    </row>
    <row r="41" spans="2:16" x14ac:dyDescent="0.25">
      <c r="B41" s="21" t="s">
        <v>34</v>
      </c>
      <c r="C41" s="22">
        <f>$K$17</f>
        <v>1200</v>
      </c>
      <c r="D41" s="22">
        <f>$H$17</f>
        <v>1344</v>
      </c>
      <c r="E41" s="22">
        <v>899</v>
      </c>
      <c r="F41" s="23">
        <f t="shared" ref="F41:F46" si="0">E41/C41</f>
        <v>0.74916666666666665</v>
      </c>
      <c r="G41" s="23">
        <f>E41/D41</f>
        <v>0.66889880952380953</v>
      </c>
    </row>
    <row r="42" spans="2:16" x14ac:dyDescent="0.25">
      <c r="B42" s="21" t="s">
        <v>35</v>
      </c>
      <c r="C42" s="22">
        <f t="shared" ref="C42:C44" si="1">$K$17</f>
        <v>1200</v>
      </c>
      <c r="D42" s="22">
        <f t="shared" ref="D42:D44" si="2">$H$17</f>
        <v>1344</v>
      </c>
      <c r="E42" s="22">
        <v>791</v>
      </c>
      <c r="F42" s="23">
        <f t="shared" si="0"/>
        <v>0.65916666666666668</v>
      </c>
      <c r="G42" s="23">
        <f t="shared" ref="G42:G46" si="3">E42/D42</f>
        <v>0.58854166666666663</v>
      </c>
    </row>
    <row r="43" spans="2:16" x14ac:dyDescent="0.25">
      <c r="B43" s="21" t="s">
        <v>36</v>
      </c>
      <c r="C43" s="22">
        <f t="shared" si="1"/>
        <v>1200</v>
      </c>
      <c r="D43" s="22">
        <f t="shared" si="2"/>
        <v>1344</v>
      </c>
      <c r="E43" s="22">
        <v>798</v>
      </c>
      <c r="F43" s="23">
        <f t="shared" si="0"/>
        <v>0.66500000000000004</v>
      </c>
      <c r="G43" s="23">
        <f t="shared" si="3"/>
        <v>0.59375</v>
      </c>
    </row>
    <row r="44" spans="2:16" x14ac:dyDescent="0.25">
      <c r="B44" s="21" t="s">
        <v>37</v>
      </c>
      <c r="C44" s="22">
        <f t="shared" si="1"/>
        <v>1200</v>
      </c>
      <c r="D44" s="22">
        <f t="shared" si="2"/>
        <v>1344</v>
      </c>
      <c r="E44" s="22">
        <v>881</v>
      </c>
      <c r="F44" s="23">
        <f t="shared" si="0"/>
        <v>0.73416666666666663</v>
      </c>
      <c r="G44" s="23">
        <f t="shared" si="3"/>
        <v>0.65550595238095233</v>
      </c>
    </row>
    <row r="45" spans="2:16" x14ac:dyDescent="0.25">
      <c r="B45" s="21" t="s">
        <v>38</v>
      </c>
      <c r="C45" s="22">
        <v>1200</v>
      </c>
      <c r="D45" s="22">
        <v>1344</v>
      </c>
      <c r="E45" s="22">
        <v>816</v>
      </c>
      <c r="F45" s="23">
        <f t="shared" si="0"/>
        <v>0.68</v>
      </c>
      <c r="G45" s="23">
        <f t="shared" si="3"/>
        <v>0.6071428571428571</v>
      </c>
    </row>
    <row r="46" spans="2:16" x14ac:dyDescent="0.25">
      <c r="B46" s="24" t="s">
        <v>39</v>
      </c>
      <c r="C46" s="25">
        <f>AVERAGE(C41:C43)</f>
        <v>1200</v>
      </c>
      <c r="D46" s="25">
        <f>AVERAGE(D41:D43)</f>
        <v>1344</v>
      </c>
      <c r="E46" s="26">
        <f>AVERAGE(E41:E43,E44)</f>
        <v>842.25</v>
      </c>
      <c r="F46" s="27">
        <f t="shared" si="0"/>
        <v>0.70187500000000003</v>
      </c>
      <c r="G46" s="28">
        <f t="shared" si="3"/>
        <v>0.6266741071428571</v>
      </c>
    </row>
    <row r="48" spans="2:16" x14ac:dyDescent="0.25">
      <c r="B48" s="19" t="s">
        <v>40</v>
      </c>
    </row>
    <row r="49" spans="2:7" x14ac:dyDescent="0.25">
      <c r="B49" s="44" t="s">
        <v>28</v>
      </c>
      <c r="C49" s="45" t="s">
        <v>16</v>
      </c>
      <c r="D49" s="45"/>
      <c r="E49" s="45"/>
      <c r="F49" s="45"/>
      <c r="G49" s="45"/>
    </row>
    <row r="50" spans="2:7" x14ac:dyDescent="0.25">
      <c r="B50" s="44"/>
      <c r="C50" s="20" t="s">
        <v>29</v>
      </c>
      <c r="D50" s="20" t="s">
        <v>30</v>
      </c>
      <c r="E50" s="20" t="s">
        <v>31</v>
      </c>
      <c r="F50" s="20" t="s">
        <v>32</v>
      </c>
      <c r="G50" s="20" t="s">
        <v>33</v>
      </c>
    </row>
    <row r="51" spans="2:7" x14ac:dyDescent="0.25">
      <c r="B51" s="21" t="s">
        <v>34</v>
      </c>
      <c r="C51" s="22">
        <f>$J$17</f>
        <v>360</v>
      </c>
      <c r="D51" s="22">
        <v>371</v>
      </c>
      <c r="E51" s="22">
        <v>216</v>
      </c>
      <c r="F51" s="23">
        <f t="shared" ref="F51:F56" si="4">E51/C51</f>
        <v>0.6</v>
      </c>
      <c r="G51" s="23">
        <f>E51/D51</f>
        <v>0.58221024258760112</v>
      </c>
    </row>
    <row r="52" spans="2:7" x14ac:dyDescent="0.25">
      <c r="B52" s="21" t="s">
        <v>35</v>
      </c>
      <c r="C52" s="22">
        <f t="shared" ref="C52:C54" si="5">$J$17</f>
        <v>360</v>
      </c>
      <c r="D52" s="22">
        <v>371</v>
      </c>
      <c r="E52" s="22">
        <v>195</v>
      </c>
      <c r="F52" s="23">
        <f t="shared" si="4"/>
        <v>0.54166666666666663</v>
      </c>
      <c r="G52" s="23">
        <f t="shared" ref="G52:G56" si="6">E52/D52</f>
        <v>0.52560646900269536</v>
      </c>
    </row>
    <row r="53" spans="2:7" x14ac:dyDescent="0.25">
      <c r="B53" s="21" t="s">
        <v>36</v>
      </c>
      <c r="C53" s="22">
        <f t="shared" si="5"/>
        <v>360</v>
      </c>
      <c r="D53" s="22">
        <v>371</v>
      </c>
      <c r="E53" s="22">
        <v>166</v>
      </c>
      <c r="F53" s="23">
        <f t="shared" si="4"/>
        <v>0.46111111111111114</v>
      </c>
      <c r="G53" s="23">
        <f t="shared" si="6"/>
        <v>0.44743935309973049</v>
      </c>
    </row>
    <row r="54" spans="2:7" x14ac:dyDescent="0.25">
      <c r="B54" s="21" t="s">
        <v>37</v>
      </c>
      <c r="C54" s="22">
        <f t="shared" si="5"/>
        <v>360</v>
      </c>
      <c r="D54" s="22">
        <v>371</v>
      </c>
      <c r="E54" s="22">
        <v>198</v>
      </c>
      <c r="F54" s="23">
        <f t="shared" si="4"/>
        <v>0.55000000000000004</v>
      </c>
      <c r="G54" s="23">
        <f t="shared" si="6"/>
        <v>0.53369272237196763</v>
      </c>
    </row>
    <row r="55" spans="2:7" x14ac:dyDescent="0.25">
      <c r="B55" s="21" t="s">
        <v>38</v>
      </c>
      <c r="C55" s="22">
        <v>360</v>
      </c>
      <c r="D55" s="22">
        <v>371</v>
      </c>
      <c r="E55" s="22">
        <v>177</v>
      </c>
      <c r="F55" s="23">
        <f t="shared" si="4"/>
        <v>0.49166666666666664</v>
      </c>
      <c r="G55" s="23">
        <f t="shared" si="6"/>
        <v>0.47708894878706198</v>
      </c>
    </row>
    <row r="56" spans="2:7" x14ac:dyDescent="0.25">
      <c r="B56" s="24" t="s">
        <v>39</v>
      </c>
      <c r="C56" s="25">
        <f t="shared" ref="C56" si="7">AVERAGE(C51:C54)</f>
        <v>360</v>
      </c>
      <c r="D56" s="25">
        <v>371</v>
      </c>
      <c r="E56" s="26">
        <f t="shared" ref="E56" si="8">AVERAGE(E51:E54)</f>
        <v>193.75</v>
      </c>
      <c r="F56" s="27">
        <f t="shared" si="4"/>
        <v>0.53819444444444442</v>
      </c>
      <c r="G56" s="28">
        <f t="shared" si="6"/>
        <v>0.52223719676549862</v>
      </c>
    </row>
    <row r="58" spans="2:7" x14ac:dyDescent="0.25">
      <c r="B58" s="19" t="s">
        <v>41</v>
      </c>
    </row>
    <row r="59" spans="2:7" x14ac:dyDescent="0.25">
      <c r="B59" s="44" t="s">
        <v>28</v>
      </c>
      <c r="C59" s="45" t="s">
        <v>16</v>
      </c>
      <c r="D59" s="45"/>
      <c r="E59" s="45"/>
      <c r="F59" s="45"/>
      <c r="G59" s="45"/>
    </row>
    <row r="60" spans="2:7" x14ac:dyDescent="0.25">
      <c r="B60" s="44"/>
      <c r="C60" s="20" t="s">
        <v>29</v>
      </c>
      <c r="D60" s="20" t="s">
        <v>30</v>
      </c>
      <c r="E60" s="20" t="s">
        <v>31</v>
      </c>
      <c r="F60" s="20" t="s">
        <v>32</v>
      </c>
      <c r="G60" s="20" t="s">
        <v>33</v>
      </c>
    </row>
    <row r="61" spans="2:7" x14ac:dyDescent="0.25">
      <c r="B61" s="21" t="s">
        <v>34</v>
      </c>
      <c r="C61" s="22">
        <f>$I$17</f>
        <v>840</v>
      </c>
      <c r="D61" s="22">
        <v>973</v>
      </c>
      <c r="E61" s="22">
        <v>683</v>
      </c>
      <c r="F61" s="23">
        <f t="shared" ref="F61:F66" si="9">E61/C61</f>
        <v>0.81309523809523809</v>
      </c>
      <c r="G61" s="23">
        <f>E61/D61</f>
        <v>0.70195272353545735</v>
      </c>
    </row>
    <row r="62" spans="2:7" x14ac:dyDescent="0.25">
      <c r="B62" s="21" t="s">
        <v>35</v>
      </c>
      <c r="C62" s="22">
        <f t="shared" ref="C62:C64" si="10">$I$17</f>
        <v>840</v>
      </c>
      <c r="D62" s="22">
        <v>973</v>
      </c>
      <c r="E62" s="22">
        <v>596</v>
      </c>
      <c r="F62" s="23">
        <f t="shared" si="9"/>
        <v>0.70952380952380956</v>
      </c>
      <c r="G62" s="23">
        <f t="shared" ref="G62:G66" si="11">E62/D62</f>
        <v>0.61253854059609458</v>
      </c>
    </row>
    <row r="63" spans="2:7" x14ac:dyDescent="0.25">
      <c r="B63" s="21" t="s">
        <v>36</v>
      </c>
      <c r="C63" s="22">
        <f t="shared" si="10"/>
        <v>840</v>
      </c>
      <c r="D63" s="22">
        <v>973</v>
      </c>
      <c r="E63" s="22">
        <v>632</v>
      </c>
      <c r="F63" s="23">
        <f t="shared" si="9"/>
        <v>0.75238095238095237</v>
      </c>
      <c r="G63" s="23">
        <f t="shared" si="11"/>
        <v>0.64953751284686534</v>
      </c>
    </row>
    <row r="64" spans="2:7" x14ac:dyDescent="0.25">
      <c r="B64" s="21" t="s">
        <v>37</v>
      </c>
      <c r="C64" s="22">
        <f t="shared" si="10"/>
        <v>840</v>
      </c>
      <c r="D64" s="22">
        <v>973</v>
      </c>
      <c r="E64" s="22">
        <v>683</v>
      </c>
      <c r="F64" s="23">
        <f t="shared" si="9"/>
        <v>0.81309523809523809</v>
      </c>
      <c r="G64" s="23">
        <f t="shared" si="11"/>
        <v>0.70195272353545735</v>
      </c>
    </row>
    <row r="65" spans="2:7" x14ac:dyDescent="0.25">
      <c r="B65" s="21" t="s">
        <v>38</v>
      </c>
      <c r="C65" s="22">
        <v>840</v>
      </c>
      <c r="D65" s="22">
        <v>973</v>
      </c>
      <c r="E65" s="22">
        <v>639</v>
      </c>
      <c r="F65" s="23">
        <f t="shared" si="9"/>
        <v>0.76071428571428568</v>
      </c>
      <c r="G65" s="23">
        <f t="shared" si="11"/>
        <v>0.65673175745118195</v>
      </c>
    </row>
    <row r="66" spans="2:7" x14ac:dyDescent="0.25">
      <c r="B66" s="24" t="s">
        <v>39</v>
      </c>
      <c r="C66" s="25">
        <f>AVERAGE(C61:C64)</f>
        <v>840</v>
      </c>
      <c r="D66" s="25">
        <v>973</v>
      </c>
      <c r="E66" s="26">
        <f t="shared" ref="E66" si="12">AVERAGE(E61:E64)</f>
        <v>648.5</v>
      </c>
      <c r="F66" s="27">
        <f t="shared" si="9"/>
        <v>0.77202380952380956</v>
      </c>
      <c r="G66" s="28">
        <f t="shared" si="11"/>
        <v>0.66649537512846868</v>
      </c>
    </row>
    <row r="89" spans="2:2" ht="21" x14ac:dyDescent="0.35">
      <c r="B89" s="1" t="s">
        <v>0</v>
      </c>
    </row>
    <row r="90" spans="2:2" ht="21" x14ac:dyDescent="0.35">
      <c r="B90" s="1" t="s">
        <v>1</v>
      </c>
    </row>
    <row r="91" spans="2:2" ht="8.25" customHeight="1" x14ac:dyDescent="0.35">
      <c r="B91" s="1"/>
    </row>
    <row r="92" spans="2:2" x14ac:dyDescent="0.25">
      <c r="B92" s="2" t="s">
        <v>42</v>
      </c>
    </row>
    <row r="93" spans="2:2" x14ac:dyDescent="0.25">
      <c r="B93" s="2" t="s">
        <v>43</v>
      </c>
    </row>
  </sheetData>
  <mergeCells count="39">
    <mergeCell ref="B49:B50"/>
    <mergeCell ref="C49:G49"/>
    <mergeCell ref="B59:B60"/>
    <mergeCell ref="C59:G59"/>
    <mergeCell ref="C32:E32"/>
    <mergeCell ref="F32:H32"/>
    <mergeCell ref="I32:K32"/>
    <mergeCell ref="L32:L33"/>
    <mergeCell ref="M32:M33"/>
    <mergeCell ref="B39:B40"/>
    <mergeCell ref="C39:G39"/>
    <mergeCell ref="C24:E24"/>
    <mergeCell ref="F24:H24"/>
    <mergeCell ref="I24:K24"/>
    <mergeCell ref="M24:M25"/>
    <mergeCell ref="C28:E28"/>
    <mergeCell ref="F28:H28"/>
    <mergeCell ref="I28:K28"/>
    <mergeCell ref="L28:L29"/>
    <mergeCell ref="M28:M29"/>
    <mergeCell ref="L24:L25"/>
    <mergeCell ref="O13:O20"/>
    <mergeCell ref="C15:E15"/>
    <mergeCell ref="F15:H15"/>
    <mergeCell ref="I15:K15"/>
    <mergeCell ref="L15:L16"/>
    <mergeCell ref="M15:M16"/>
    <mergeCell ref="C19:E19"/>
    <mergeCell ref="F19:H19"/>
    <mergeCell ref="I19:K19"/>
    <mergeCell ref="C20:E20"/>
    <mergeCell ref="F20:H20"/>
    <mergeCell ref="I20:K20"/>
    <mergeCell ref="C12:E12"/>
    <mergeCell ref="F12:H12"/>
    <mergeCell ref="I12:K12"/>
    <mergeCell ref="C13:E13"/>
    <mergeCell ref="F13:H13"/>
    <mergeCell ref="I13:K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CEC8-0976-4679-AF2F-F81E142446C9}">
  <sheetPr>
    <tabColor rgb="FF00B050"/>
  </sheetPr>
  <dimension ref="B2:P93"/>
  <sheetViews>
    <sheetView tabSelected="1" topLeftCell="A9" zoomScale="115" zoomScaleNormal="115" workbookViewId="0">
      <selection activeCell="L20" sqref="L20"/>
    </sheetView>
  </sheetViews>
  <sheetFormatPr defaultRowHeight="15" x14ac:dyDescent="0.25"/>
  <cols>
    <col min="1" max="1" width="3.140625" customWidth="1"/>
    <col min="2" max="2" width="29.85546875" customWidth="1"/>
    <col min="3" max="11" width="9.7109375" customWidth="1"/>
    <col min="12" max="13" width="11.42578125" customWidth="1"/>
    <col min="14" max="14" width="2.7109375" customWidth="1"/>
    <col min="15" max="15" width="66.5703125" customWidth="1"/>
  </cols>
  <sheetData>
    <row r="2" spans="2:15" ht="21" x14ac:dyDescent="0.35">
      <c r="B2" s="1" t="s">
        <v>49</v>
      </c>
    </row>
    <row r="3" spans="2:15" ht="21" x14ac:dyDescent="0.35">
      <c r="B3" s="1" t="s">
        <v>1</v>
      </c>
    </row>
    <row r="4" spans="2:15" ht="9" customHeight="1" x14ac:dyDescent="0.35">
      <c r="B4" s="1"/>
    </row>
    <row r="5" spans="2:15" x14ac:dyDescent="0.25">
      <c r="B5" s="2" t="s">
        <v>2</v>
      </c>
    </row>
    <row r="6" spans="2:15" s="3" customFormat="1" ht="12" x14ac:dyDescent="0.2">
      <c r="B6" s="2" t="s">
        <v>3</v>
      </c>
    </row>
    <row r="8" spans="2:15" x14ac:dyDescent="0.25">
      <c r="B8" s="4" t="s">
        <v>48</v>
      </c>
    </row>
    <row r="9" spans="2:15" x14ac:dyDescent="0.25">
      <c r="B9" s="5"/>
    </row>
    <row r="10" spans="2:15" x14ac:dyDescent="0.25">
      <c r="B10" s="6" t="s">
        <v>5</v>
      </c>
    </row>
    <row r="11" spans="2:15" x14ac:dyDescent="0.25">
      <c r="B11" s="6"/>
    </row>
    <row r="12" spans="2:15" x14ac:dyDescent="0.25">
      <c r="C12" s="35" t="s">
        <v>6</v>
      </c>
      <c r="D12" s="36"/>
      <c r="E12" s="37"/>
      <c r="F12" s="38" t="s">
        <v>7</v>
      </c>
      <c r="G12" s="38"/>
      <c r="H12" s="38"/>
      <c r="I12" s="39" t="s">
        <v>8</v>
      </c>
      <c r="J12" s="39"/>
      <c r="K12" s="39"/>
      <c r="L12" s="7" t="s">
        <v>9</v>
      </c>
      <c r="M12" s="7" t="s">
        <v>10</v>
      </c>
      <c r="O12" s="7" t="s">
        <v>11</v>
      </c>
    </row>
    <row r="13" spans="2:15" x14ac:dyDescent="0.25">
      <c r="B13" s="8" t="s">
        <v>12</v>
      </c>
      <c r="C13" s="40">
        <v>20</v>
      </c>
      <c r="D13" s="40"/>
      <c r="E13" s="40"/>
      <c r="F13" s="40">
        <v>19</v>
      </c>
      <c r="G13" s="40"/>
      <c r="H13" s="40"/>
      <c r="I13" s="40">
        <v>20</v>
      </c>
      <c r="J13" s="40"/>
      <c r="K13" s="40"/>
      <c r="L13" s="9">
        <f>F13-C13</f>
        <v>-1</v>
      </c>
      <c r="M13" s="10">
        <f>F13/I13</f>
        <v>0.95</v>
      </c>
      <c r="O13" s="41" t="s">
        <v>47</v>
      </c>
    </row>
    <row r="14" spans="2:15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O14" s="41"/>
    </row>
    <row r="15" spans="2:15" x14ac:dyDescent="0.25">
      <c r="C15" s="35" t="s">
        <v>6</v>
      </c>
      <c r="D15" s="36"/>
      <c r="E15" s="37"/>
      <c r="F15" s="38" t="s">
        <v>7</v>
      </c>
      <c r="G15" s="38"/>
      <c r="H15" s="38"/>
      <c r="I15" s="39" t="s">
        <v>8</v>
      </c>
      <c r="J15" s="39"/>
      <c r="K15" s="39"/>
      <c r="L15" s="42" t="s">
        <v>9</v>
      </c>
      <c r="M15" s="42" t="s">
        <v>10</v>
      </c>
      <c r="O15" s="41"/>
    </row>
    <row r="16" spans="2:15" x14ac:dyDescent="0.25">
      <c r="C16" s="7" t="s">
        <v>14</v>
      </c>
      <c r="D16" s="7" t="s">
        <v>15</v>
      </c>
      <c r="E16" s="7" t="s">
        <v>16</v>
      </c>
      <c r="F16" s="12" t="s">
        <v>14</v>
      </c>
      <c r="G16" s="12" t="s">
        <v>15</v>
      </c>
      <c r="H16" s="12" t="s">
        <v>16</v>
      </c>
      <c r="I16" s="7" t="s">
        <v>14</v>
      </c>
      <c r="J16" s="7" t="s">
        <v>15</v>
      </c>
      <c r="K16" s="7" t="s">
        <v>16</v>
      </c>
      <c r="L16" s="43"/>
      <c r="M16" s="43"/>
      <c r="O16" s="41"/>
    </row>
    <row r="17" spans="2:15" x14ac:dyDescent="0.25">
      <c r="B17" s="8" t="s">
        <v>17</v>
      </c>
      <c r="C17" s="9">
        <v>578</v>
      </c>
      <c r="D17" s="9">
        <v>170</v>
      </c>
      <c r="E17" s="9">
        <f>SUM(C17:D17)</f>
        <v>748</v>
      </c>
      <c r="F17" s="9">
        <v>651</v>
      </c>
      <c r="G17" s="9">
        <v>191</v>
      </c>
      <c r="H17" s="9">
        <f>SUM(F17:G17)</f>
        <v>842</v>
      </c>
      <c r="I17" s="9">
        <v>600</v>
      </c>
      <c r="J17" s="9">
        <v>0</v>
      </c>
      <c r="K17" s="9">
        <f>SUM(I17:J17)</f>
        <v>600</v>
      </c>
      <c r="L17" s="9">
        <f>H17-E17</f>
        <v>94</v>
      </c>
      <c r="M17" s="10">
        <f>H17/K17</f>
        <v>1.4033333333333333</v>
      </c>
      <c r="O17" s="41"/>
    </row>
    <row r="18" spans="2:15" x14ac:dyDescent="0.25">
      <c r="B18" s="1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4"/>
      <c r="O18" s="41"/>
    </row>
    <row r="19" spans="2:15" x14ac:dyDescent="0.25">
      <c r="C19" s="35" t="s">
        <v>6</v>
      </c>
      <c r="D19" s="36"/>
      <c r="E19" s="37"/>
      <c r="F19" s="38" t="s">
        <v>7</v>
      </c>
      <c r="G19" s="38"/>
      <c r="H19" s="38"/>
      <c r="I19" s="39" t="s">
        <v>8</v>
      </c>
      <c r="J19" s="39"/>
      <c r="K19" s="39"/>
      <c r="L19" s="7" t="s">
        <v>9</v>
      </c>
      <c r="M19" s="7" t="s">
        <v>10</v>
      </c>
      <c r="O19" s="41"/>
    </row>
    <row r="20" spans="2:15" x14ac:dyDescent="0.25">
      <c r="B20" s="8" t="s">
        <v>18</v>
      </c>
      <c r="C20" s="40">
        <v>2</v>
      </c>
      <c r="D20" s="40"/>
      <c r="E20" s="40"/>
      <c r="F20" s="40">
        <v>3</v>
      </c>
      <c r="G20" s="40"/>
      <c r="H20" s="40"/>
      <c r="I20" s="40">
        <v>5</v>
      </c>
      <c r="J20" s="40"/>
      <c r="K20" s="40"/>
      <c r="L20" s="9">
        <v>5</v>
      </c>
      <c r="M20" s="10">
        <f>F20/I20</f>
        <v>0.6</v>
      </c>
      <c r="O20" s="41"/>
    </row>
    <row r="21" spans="2:15" x14ac:dyDescent="0.25">
      <c r="B21" s="1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4"/>
    </row>
    <row r="22" spans="2:15" hidden="1" x14ac:dyDescent="0.25">
      <c r="B22" s="6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2:15" hidden="1" x14ac:dyDescent="0.2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2:15" hidden="1" x14ac:dyDescent="0.25">
      <c r="C24" s="35" t="s">
        <v>6</v>
      </c>
      <c r="D24" s="36"/>
      <c r="E24" s="37"/>
      <c r="F24" s="38" t="s">
        <v>7</v>
      </c>
      <c r="G24" s="38"/>
      <c r="H24" s="38"/>
      <c r="I24" s="39" t="s">
        <v>8</v>
      </c>
      <c r="J24" s="39"/>
      <c r="K24" s="39"/>
      <c r="L24" s="42" t="s">
        <v>9</v>
      </c>
      <c r="M24" s="42" t="s">
        <v>10</v>
      </c>
    </row>
    <row r="25" spans="2:15" hidden="1" x14ac:dyDescent="0.25">
      <c r="C25" s="7" t="s">
        <v>14</v>
      </c>
      <c r="D25" s="7" t="s">
        <v>15</v>
      </c>
      <c r="E25" s="7" t="s">
        <v>16</v>
      </c>
      <c r="F25" s="12" t="s">
        <v>14</v>
      </c>
      <c r="G25" s="12" t="s">
        <v>15</v>
      </c>
      <c r="H25" s="12" t="s">
        <v>16</v>
      </c>
      <c r="I25" s="7" t="s">
        <v>14</v>
      </c>
      <c r="J25" s="7" t="s">
        <v>15</v>
      </c>
      <c r="K25" s="7" t="s">
        <v>16</v>
      </c>
      <c r="L25" s="43"/>
      <c r="M25" s="43"/>
    </row>
    <row r="26" spans="2:15" hidden="1" x14ac:dyDescent="0.25">
      <c r="B26" s="8" t="s">
        <v>20</v>
      </c>
      <c r="C26" s="9">
        <v>0</v>
      </c>
      <c r="D26" s="9">
        <v>0</v>
      </c>
      <c r="E26" s="9">
        <f>SUM(C26:D26)</f>
        <v>0</v>
      </c>
      <c r="F26" s="9">
        <v>640</v>
      </c>
      <c r="G26" s="9">
        <v>27</v>
      </c>
      <c r="H26" s="15">
        <f>SUM(F26:G26)</f>
        <v>667</v>
      </c>
      <c r="I26" s="9">
        <v>840</v>
      </c>
      <c r="J26" s="9">
        <v>360</v>
      </c>
      <c r="K26" s="9">
        <f>SUM(I26:J26)</f>
        <v>1200</v>
      </c>
      <c r="L26" s="9">
        <f>H26-E26</f>
        <v>667</v>
      </c>
      <c r="M26" s="16">
        <f>H26/K26</f>
        <v>0.55583333333333329</v>
      </c>
    </row>
    <row r="27" spans="2:15" hidden="1" x14ac:dyDescent="0.25"/>
    <row r="28" spans="2:15" hidden="1" x14ac:dyDescent="0.25">
      <c r="B28" s="17"/>
      <c r="C28" s="35" t="s">
        <v>6</v>
      </c>
      <c r="D28" s="36"/>
      <c r="E28" s="37"/>
      <c r="F28" s="39" t="s">
        <v>7</v>
      </c>
      <c r="G28" s="39"/>
      <c r="H28" s="39"/>
      <c r="I28" s="39" t="s">
        <v>21</v>
      </c>
      <c r="J28" s="39"/>
      <c r="K28" s="39"/>
      <c r="L28" s="42" t="s">
        <v>9</v>
      </c>
      <c r="M28" s="42" t="s">
        <v>10</v>
      </c>
    </row>
    <row r="29" spans="2:15" hidden="1" x14ac:dyDescent="0.25">
      <c r="C29" s="7" t="s">
        <v>14</v>
      </c>
      <c r="D29" s="7" t="s">
        <v>15</v>
      </c>
      <c r="E29" s="7" t="s">
        <v>16</v>
      </c>
      <c r="F29" s="7" t="s">
        <v>14</v>
      </c>
      <c r="G29" s="7" t="s">
        <v>15</v>
      </c>
      <c r="H29" s="7" t="s">
        <v>16</v>
      </c>
      <c r="I29" s="7" t="s">
        <v>14</v>
      </c>
      <c r="J29" s="7" t="s">
        <v>15</v>
      </c>
      <c r="K29" s="7" t="s">
        <v>16</v>
      </c>
      <c r="L29" s="43"/>
      <c r="M29" s="43"/>
    </row>
    <row r="30" spans="2:15" hidden="1" x14ac:dyDescent="0.25">
      <c r="B30" s="8" t="s">
        <v>22</v>
      </c>
      <c r="C30" s="9">
        <v>0</v>
      </c>
      <c r="D30" s="9">
        <v>0</v>
      </c>
      <c r="E30" s="9">
        <f>SUM(C30:D30)</f>
        <v>0</v>
      </c>
      <c r="F30" s="9">
        <v>640</v>
      </c>
      <c r="G30" s="9">
        <v>27</v>
      </c>
      <c r="H30" s="9">
        <f>SUM(F30:G30)</f>
        <v>667</v>
      </c>
      <c r="I30" s="9">
        <f>F17</f>
        <v>651</v>
      </c>
      <c r="J30" s="9">
        <f>G17</f>
        <v>191</v>
      </c>
      <c r="K30" s="9">
        <f>SUM(I30:J30)</f>
        <v>842</v>
      </c>
      <c r="L30" s="9">
        <f>H30-E30</f>
        <v>667</v>
      </c>
      <c r="M30" s="10">
        <f>H26/K30</f>
        <v>0.79216152019002373</v>
      </c>
    </row>
    <row r="31" spans="2:15" hidden="1" x14ac:dyDescent="0.25">
      <c r="B31" s="1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4"/>
    </row>
    <row r="32" spans="2:15" hidden="1" x14ac:dyDescent="0.25">
      <c r="B32" s="13"/>
      <c r="C32" s="35" t="s">
        <v>6</v>
      </c>
      <c r="D32" s="36"/>
      <c r="E32" s="37"/>
      <c r="F32" s="38" t="s">
        <v>7</v>
      </c>
      <c r="G32" s="38"/>
      <c r="H32" s="38"/>
      <c r="I32" s="39" t="s">
        <v>8</v>
      </c>
      <c r="J32" s="39"/>
      <c r="K32" s="39"/>
      <c r="L32" s="42" t="s">
        <v>9</v>
      </c>
      <c r="M32" s="42" t="s">
        <v>10</v>
      </c>
    </row>
    <row r="33" spans="2:16" hidden="1" x14ac:dyDescent="0.25">
      <c r="B33" s="13"/>
      <c r="C33" s="7" t="s">
        <v>23</v>
      </c>
      <c r="D33" s="7" t="s">
        <v>24</v>
      </c>
      <c r="E33" s="7" t="s">
        <v>16</v>
      </c>
      <c r="F33" s="12" t="s">
        <v>23</v>
      </c>
      <c r="G33" s="12" t="s">
        <v>24</v>
      </c>
      <c r="H33" s="12" t="s">
        <v>16</v>
      </c>
      <c r="I33" s="7" t="s">
        <v>23</v>
      </c>
      <c r="J33" s="7" t="s">
        <v>24</v>
      </c>
      <c r="K33" s="7" t="s">
        <v>16</v>
      </c>
      <c r="L33" s="43"/>
      <c r="M33" s="43"/>
    </row>
    <row r="34" spans="2:16" hidden="1" x14ac:dyDescent="0.25">
      <c r="B34" s="8" t="s">
        <v>20</v>
      </c>
      <c r="C34" s="9">
        <v>0</v>
      </c>
      <c r="D34" s="9">
        <v>0</v>
      </c>
      <c r="E34" s="9">
        <f>SUM(C34:D34)</f>
        <v>0</v>
      </c>
      <c r="F34" s="9">
        <v>313</v>
      </c>
      <c r="G34" s="9">
        <v>354</v>
      </c>
      <c r="H34" s="9">
        <f>SUM(F34:G34)</f>
        <v>667</v>
      </c>
      <c r="I34" s="9">
        <v>725</v>
      </c>
      <c r="J34" s="9">
        <v>476</v>
      </c>
      <c r="K34" s="9">
        <f>SUM(I34:J34)</f>
        <v>1201</v>
      </c>
      <c r="L34" s="9">
        <f>H34-E34</f>
        <v>667</v>
      </c>
      <c r="M34" s="10">
        <f>H34/K34</f>
        <v>0.55537052456286429</v>
      </c>
    </row>
    <row r="35" spans="2:16" hidden="1" x14ac:dyDescent="0.25"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4"/>
    </row>
    <row r="36" spans="2:16" x14ac:dyDescent="0.25">
      <c r="B36" s="6" t="s">
        <v>25</v>
      </c>
      <c r="P36" s="18" t="s">
        <v>26</v>
      </c>
    </row>
    <row r="37" spans="2:16" x14ac:dyDescent="0.25">
      <c r="B37" s="6"/>
    </row>
    <row r="38" spans="2:16" x14ac:dyDescent="0.25">
      <c r="B38" s="19" t="s">
        <v>46</v>
      </c>
    </row>
    <row r="39" spans="2:16" x14ac:dyDescent="0.25">
      <c r="B39" s="44" t="s">
        <v>28</v>
      </c>
      <c r="C39" s="45" t="s">
        <v>16</v>
      </c>
      <c r="D39" s="45"/>
      <c r="E39" s="45"/>
      <c r="F39" s="45"/>
      <c r="G39" s="45"/>
    </row>
    <row r="40" spans="2:16" x14ac:dyDescent="0.25">
      <c r="B40" s="44"/>
      <c r="C40" s="20" t="s">
        <v>29</v>
      </c>
      <c r="D40" s="20" t="s">
        <v>30</v>
      </c>
      <c r="E40" s="20" t="s">
        <v>31</v>
      </c>
      <c r="F40" s="20" t="s">
        <v>32</v>
      </c>
      <c r="G40" s="20" t="s">
        <v>33</v>
      </c>
    </row>
    <row r="41" spans="2:16" x14ac:dyDescent="0.25">
      <c r="B41" s="21" t="s">
        <v>34</v>
      </c>
      <c r="C41" s="22">
        <f>$K$17</f>
        <v>600</v>
      </c>
      <c r="D41" s="22">
        <f>$H$17</f>
        <v>842</v>
      </c>
      <c r="E41" s="22">
        <v>314</v>
      </c>
      <c r="F41" s="23">
        <f t="shared" ref="F41:F46" si="0">E41/C41</f>
        <v>0.52333333333333332</v>
      </c>
      <c r="G41" s="23">
        <f t="shared" ref="G41:G46" si="1">E41/D41</f>
        <v>0.37292161520190026</v>
      </c>
    </row>
    <row r="42" spans="2:16" x14ac:dyDescent="0.25">
      <c r="B42" s="21" t="s">
        <v>35</v>
      </c>
      <c r="C42" s="22">
        <f>$K$17</f>
        <v>600</v>
      </c>
      <c r="D42" s="22">
        <f>$H$17</f>
        <v>842</v>
      </c>
      <c r="E42" s="22">
        <v>375</v>
      </c>
      <c r="F42" s="23">
        <f t="shared" si="0"/>
        <v>0.625</v>
      </c>
      <c r="G42" s="23">
        <f t="shared" si="1"/>
        <v>0.44536817102137766</v>
      </c>
    </row>
    <row r="43" spans="2:16" x14ac:dyDescent="0.25">
      <c r="B43" s="21" t="s">
        <v>36</v>
      </c>
      <c r="C43" s="22">
        <f>$K$17</f>
        <v>600</v>
      </c>
      <c r="D43" s="22">
        <f>$H$17</f>
        <v>842</v>
      </c>
      <c r="E43" s="22">
        <v>603</v>
      </c>
      <c r="F43" s="23">
        <f t="shared" si="0"/>
        <v>1.0049999999999999</v>
      </c>
      <c r="G43" s="23">
        <f t="shared" si="1"/>
        <v>0.71615201900237535</v>
      </c>
    </row>
    <row r="44" spans="2:16" x14ac:dyDescent="0.25">
      <c r="B44" s="21" t="s">
        <v>37</v>
      </c>
      <c r="C44" s="22">
        <f>$K$17</f>
        <v>600</v>
      </c>
      <c r="D44" s="22">
        <f>$H$17</f>
        <v>842</v>
      </c>
      <c r="E44" s="22">
        <v>508</v>
      </c>
      <c r="F44" s="23">
        <f t="shared" si="0"/>
        <v>0.84666666666666668</v>
      </c>
      <c r="G44" s="23">
        <f t="shared" si="1"/>
        <v>0.60332541567695963</v>
      </c>
    </row>
    <row r="45" spans="2:16" x14ac:dyDescent="0.25">
      <c r="B45" s="21" t="s">
        <v>38</v>
      </c>
      <c r="C45" s="22">
        <f>$K$17</f>
        <v>600</v>
      </c>
      <c r="D45" s="22">
        <f>$H$17</f>
        <v>842</v>
      </c>
      <c r="E45" s="22">
        <v>512</v>
      </c>
      <c r="F45" s="23">
        <f t="shared" si="0"/>
        <v>0.85333333333333339</v>
      </c>
      <c r="G45" s="23">
        <f t="shared" si="1"/>
        <v>0.60807600950118768</v>
      </c>
    </row>
    <row r="46" spans="2:16" x14ac:dyDescent="0.25">
      <c r="B46" s="24" t="s">
        <v>39</v>
      </c>
      <c r="C46" s="25">
        <f>AVERAGE(C41:C43)</f>
        <v>600</v>
      </c>
      <c r="D46" s="25">
        <f>AVERAGE(D41:D43)</f>
        <v>842</v>
      </c>
      <c r="E46" s="26">
        <f>AVERAGE(E41:E43,E44,E45)</f>
        <v>462.4</v>
      </c>
      <c r="F46" s="27">
        <f t="shared" si="0"/>
        <v>0.77066666666666661</v>
      </c>
      <c r="G46" s="28">
        <f t="shared" si="1"/>
        <v>0.5491686460807601</v>
      </c>
    </row>
    <row r="48" spans="2:16" x14ac:dyDescent="0.25">
      <c r="B48" s="19" t="s">
        <v>45</v>
      </c>
    </row>
    <row r="49" spans="2:7" x14ac:dyDescent="0.25">
      <c r="B49" s="44" t="s">
        <v>28</v>
      </c>
      <c r="C49" s="45" t="s">
        <v>16</v>
      </c>
      <c r="D49" s="45"/>
      <c r="E49" s="45"/>
      <c r="F49" s="45"/>
      <c r="G49" s="45"/>
    </row>
    <row r="50" spans="2:7" x14ac:dyDescent="0.25">
      <c r="B50" s="44"/>
      <c r="C50" s="20" t="s">
        <v>29</v>
      </c>
      <c r="D50" s="20" t="s">
        <v>30</v>
      </c>
      <c r="E50" s="20" t="s">
        <v>31</v>
      </c>
      <c r="F50" s="20" t="s">
        <v>32</v>
      </c>
      <c r="G50" s="20" t="s">
        <v>33</v>
      </c>
    </row>
    <row r="51" spans="2:7" x14ac:dyDescent="0.25">
      <c r="B51" s="21" t="s">
        <v>34</v>
      </c>
      <c r="C51" s="22">
        <f>$J$17</f>
        <v>0</v>
      </c>
      <c r="D51" s="22">
        <v>371</v>
      </c>
      <c r="E51" s="22">
        <v>0</v>
      </c>
      <c r="F51" s="23" t="e">
        <f t="shared" ref="F51:F56" si="2">E51/C51</f>
        <v>#DIV/0!</v>
      </c>
      <c r="G51" s="23">
        <f t="shared" ref="G51:G56" si="3">E51/D51</f>
        <v>0</v>
      </c>
    </row>
    <row r="52" spans="2:7" x14ac:dyDescent="0.25">
      <c r="B52" s="21" t="s">
        <v>35</v>
      </c>
      <c r="C52" s="22">
        <f>$J$17</f>
        <v>0</v>
      </c>
      <c r="D52" s="22">
        <v>371</v>
      </c>
      <c r="E52" s="22">
        <v>0</v>
      </c>
      <c r="F52" s="23" t="e">
        <f t="shared" si="2"/>
        <v>#DIV/0!</v>
      </c>
      <c r="G52" s="23">
        <f t="shared" si="3"/>
        <v>0</v>
      </c>
    </row>
    <row r="53" spans="2:7" x14ac:dyDescent="0.25">
      <c r="B53" s="21" t="s">
        <v>36</v>
      </c>
      <c r="C53" s="22">
        <f>$J$17</f>
        <v>0</v>
      </c>
      <c r="D53" s="22">
        <v>371</v>
      </c>
      <c r="E53" s="22">
        <v>0</v>
      </c>
      <c r="F53" s="23" t="e">
        <f t="shared" si="2"/>
        <v>#DIV/0!</v>
      </c>
      <c r="G53" s="23">
        <f t="shared" si="3"/>
        <v>0</v>
      </c>
    </row>
    <row r="54" spans="2:7" x14ac:dyDescent="0.25">
      <c r="B54" s="21" t="s">
        <v>37</v>
      </c>
      <c r="C54" s="22">
        <f>$J$17</f>
        <v>0</v>
      </c>
      <c r="D54" s="22">
        <v>371</v>
      </c>
      <c r="E54" s="22">
        <v>0</v>
      </c>
      <c r="F54" s="23" t="e">
        <f t="shared" si="2"/>
        <v>#DIV/0!</v>
      </c>
      <c r="G54" s="23">
        <f t="shared" si="3"/>
        <v>0</v>
      </c>
    </row>
    <row r="55" spans="2:7" x14ac:dyDescent="0.25">
      <c r="B55" s="21" t="s">
        <v>38</v>
      </c>
      <c r="C55" s="22">
        <f>$J$17</f>
        <v>0</v>
      </c>
      <c r="D55" s="22">
        <v>371</v>
      </c>
      <c r="E55" s="22">
        <v>0</v>
      </c>
      <c r="F55" s="23" t="e">
        <f t="shared" si="2"/>
        <v>#DIV/0!</v>
      </c>
      <c r="G55" s="23">
        <f t="shared" si="3"/>
        <v>0</v>
      </c>
    </row>
    <row r="56" spans="2:7" x14ac:dyDescent="0.25">
      <c r="B56" s="24" t="s">
        <v>39</v>
      </c>
      <c r="C56" s="25">
        <f>AVERAGE(C51:C54)</f>
        <v>0</v>
      </c>
      <c r="D56" s="25">
        <v>371</v>
      </c>
      <c r="E56" s="26">
        <f>AVERAGE(E51:E54)</f>
        <v>0</v>
      </c>
      <c r="F56" s="27" t="e">
        <f t="shared" si="2"/>
        <v>#DIV/0!</v>
      </c>
      <c r="G56" s="28">
        <f t="shared" si="3"/>
        <v>0</v>
      </c>
    </row>
    <row r="58" spans="2:7" x14ac:dyDescent="0.25">
      <c r="B58" s="19" t="s">
        <v>44</v>
      </c>
    </row>
    <row r="59" spans="2:7" x14ac:dyDescent="0.25">
      <c r="B59" s="44" t="s">
        <v>28</v>
      </c>
      <c r="C59" s="45" t="s">
        <v>16</v>
      </c>
      <c r="D59" s="45"/>
      <c r="E59" s="45"/>
      <c r="F59" s="45"/>
      <c r="G59" s="45"/>
    </row>
    <row r="60" spans="2:7" x14ac:dyDescent="0.25">
      <c r="B60" s="44"/>
      <c r="C60" s="20" t="s">
        <v>29</v>
      </c>
      <c r="D60" s="20" t="s">
        <v>30</v>
      </c>
      <c r="E60" s="20" t="s">
        <v>31</v>
      </c>
      <c r="F60" s="20" t="s">
        <v>32</v>
      </c>
      <c r="G60" s="20" t="s">
        <v>33</v>
      </c>
    </row>
    <row r="61" spans="2:7" x14ac:dyDescent="0.25">
      <c r="B61" s="21" t="s">
        <v>34</v>
      </c>
      <c r="C61" s="22">
        <f>$I$17</f>
        <v>600</v>
      </c>
      <c r="D61" s="22">
        <v>651</v>
      </c>
      <c r="E61" s="22">
        <v>314</v>
      </c>
      <c r="F61" s="23">
        <f t="shared" ref="F61:F66" si="4">E61/C61</f>
        <v>0.52333333333333332</v>
      </c>
      <c r="G61" s="23">
        <f t="shared" ref="G61:G66" si="5">E61/D61</f>
        <v>0.48233486943164361</v>
      </c>
    </row>
    <row r="62" spans="2:7" x14ac:dyDescent="0.25">
      <c r="B62" s="21" t="s">
        <v>35</v>
      </c>
      <c r="C62" s="22">
        <f>$I$17</f>
        <v>600</v>
      </c>
      <c r="D62" s="22">
        <v>651</v>
      </c>
      <c r="E62" s="22">
        <v>375</v>
      </c>
      <c r="F62" s="23">
        <f t="shared" si="4"/>
        <v>0.625</v>
      </c>
      <c r="G62" s="23">
        <f t="shared" si="5"/>
        <v>0.57603686635944695</v>
      </c>
    </row>
    <row r="63" spans="2:7" x14ac:dyDescent="0.25">
      <c r="B63" s="21" t="s">
        <v>36</v>
      </c>
      <c r="C63" s="22">
        <f>$I$17</f>
        <v>600</v>
      </c>
      <c r="D63" s="22">
        <v>651</v>
      </c>
      <c r="E63" s="22">
        <v>603</v>
      </c>
      <c r="F63" s="23">
        <f t="shared" si="4"/>
        <v>1.0049999999999999</v>
      </c>
      <c r="G63" s="23">
        <f t="shared" si="5"/>
        <v>0.92626728110599077</v>
      </c>
    </row>
    <row r="64" spans="2:7" x14ac:dyDescent="0.25">
      <c r="B64" s="21" t="s">
        <v>37</v>
      </c>
      <c r="C64" s="22">
        <f>$I$17</f>
        <v>600</v>
      </c>
      <c r="D64" s="22">
        <v>651</v>
      </c>
      <c r="E64" s="22">
        <v>508</v>
      </c>
      <c r="F64" s="23">
        <f t="shared" si="4"/>
        <v>0.84666666666666668</v>
      </c>
      <c r="G64" s="23">
        <f t="shared" si="5"/>
        <v>0.7803379416282642</v>
      </c>
    </row>
    <row r="65" spans="2:7" x14ac:dyDescent="0.25">
      <c r="B65" s="21" t="s">
        <v>38</v>
      </c>
      <c r="C65" s="22">
        <f>$I$17</f>
        <v>600</v>
      </c>
      <c r="D65" s="22">
        <v>651</v>
      </c>
      <c r="E65" s="22">
        <v>512</v>
      </c>
      <c r="F65" s="23">
        <f t="shared" si="4"/>
        <v>0.85333333333333339</v>
      </c>
      <c r="G65" s="23">
        <f t="shared" si="5"/>
        <v>0.78648233486943164</v>
      </c>
    </row>
    <row r="66" spans="2:7" x14ac:dyDescent="0.25">
      <c r="B66" s="24" t="s">
        <v>39</v>
      </c>
      <c r="C66" s="25">
        <f>AVERAGE(C61:C64)</f>
        <v>600</v>
      </c>
      <c r="D66" s="25">
        <f>AVERAGE(D61:D64)</f>
        <v>651</v>
      </c>
      <c r="E66" s="26">
        <f>AVERAGE(E61:E64,E65)</f>
        <v>462.4</v>
      </c>
      <c r="F66" s="27">
        <f t="shared" si="4"/>
        <v>0.77066666666666661</v>
      </c>
      <c r="G66" s="28">
        <f t="shared" si="5"/>
        <v>0.71029185867895539</v>
      </c>
    </row>
    <row r="89" spans="2:2" ht="21" x14ac:dyDescent="0.35">
      <c r="B89" s="1" t="s">
        <v>0</v>
      </c>
    </row>
    <row r="90" spans="2:2" ht="21" x14ac:dyDescent="0.35">
      <c r="B90" s="1" t="s">
        <v>1</v>
      </c>
    </row>
    <row r="91" spans="2:2" ht="8.25" customHeight="1" x14ac:dyDescent="0.35">
      <c r="B91" s="1"/>
    </row>
    <row r="92" spans="2:2" x14ac:dyDescent="0.25">
      <c r="B92" s="2" t="s">
        <v>42</v>
      </c>
    </row>
    <row r="93" spans="2:2" x14ac:dyDescent="0.25">
      <c r="B93" s="2" t="s">
        <v>43</v>
      </c>
    </row>
  </sheetData>
  <mergeCells count="39">
    <mergeCell ref="B49:B50"/>
    <mergeCell ref="C49:G49"/>
    <mergeCell ref="B59:B60"/>
    <mergeCell ref="C59:G59"/>
    <mergeCell ref="C32:E32"/>
    <mergeCell ref="F32:H32"/>
    <mergeCell ref="I32:K32"/>
    <mergeCell ref="L32:L33"/>
    <mergeCell ref="M32:M33"/>
    <mergeCell ref="B39:B40"/>
    <mergeCell ref="C39:G39"/>
    <mergeCell ref="M28:M29"/>
    <mergeCell ref="F20:H20"/>
    <mergeCell ref="I20:K20"/>
    <mergeCell ref="C24:E24"/>
    <mergeCell ref="F24:H24"/>
    <mergeCell ref="I24:K24"/>
    <mergeCell ref="L24:L25"/>
    <mergeCell ref="M24:M25"/>
    <mergeCell ref="C28:E28"/>
    <mergeCell ref="F28:H28"/>
    <mergeCell ref="I28:K28"/>
    <mergeCell ref="L28:L29"/>
    <mergeCell ref="O13:O20"/>
    <mergeCell ref="C15:E15"/>
    <mergeCell ref="F15:H15"/>
    <mergeCell ref="I15:K15"/>
    <mergeCell ref="L15:L16"/>
    <mergeCell ref="M15:M16"/>
    <mergeCell ref="C19:E19"/>
    <mergeCell ref="F19:H19"/>
    <mergeCell ref="I19:K19"/>
    <mergeCell ref="C20:E20"/>
    <mergeCell ref="C12:E12"/>
    <mergeCell ref="F12:H12"/>
    <mergeCell ref="I12:K12"/>
    <mergeCell ref="C13:E13"/>
    <mergeCell ref="F13:H13"/>
    <mergeCell ref="I13:K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6F64-8041-4D04-BEB0-37CDED246B97}">
  <sheetPr>
    <tabColor rgb="FF00B050"/>
  </sheetPr>
  <dimension ref="B2:O79"/>
  <sheetViews>
    <sheetView topLeftCell="A10" zoomScaleNormal="100" workbookViewId="0">
      <selection activeCell="D23" sqref="C22:E23"/>
    </sheetView>
  </sheetViews>
  <sheetFormatPr defaultRowHeight="15" x14ac:dyDescent="0.25"/>
  <cols>
    <col min="1" max="1" width="3.140625" customWidth="1"/>
    <col min="2" max="2" width="31" customWidth="1"/>
    <col min="3" max="13" width="11.85546875" customWidth="1"/>
    <col min="14" max="14" width="2.7109375" customWidth="1"/>
    <col min="15" max="15" width="59.28515625" customWidth="1"/>
  </cols>
  <sheetData>
    <row r="2" spans="2:15" ht="21" x14ac:dyDescent="0.35">
      <c r="B2" s="1" t="s">
        <v>50</v>
      </c>
    </row>
    <row r="3" spans="2:15" ht="21" x14ac:dyDescent="0.35">
      <c r="B3" s="1" t="s">
        <v>1</v>
      </c>
    </row>
    <row r="4" spans="2:15" ht="21" x14ac:dyDescent="0.35">
      <c r="B4" s="1"/>
    </row>
    <row r="5" spans="2:15" x14ac:dyDescent="0.25">
      <c r="B5" s="2" t="s">
        <v>2</v>
      </c>
    </row>
    <row r="6" spans="2:15" x14ac:dyDescent="0.25">
      <c r="B6" s="2" t="s">
        <v>3</v>
      </c>
    </row>
    <row r="8" spans="2:15" x14ac:dyDescent="0.25">
      <c r="B8" s="4" t="s">
        <v>51</v>
      </c>
    </row>
    <row r="9" spans="2:15" x14ac:dyDescent="0.25">
      <c r="B9" s="5"/>
    </row>
    <row r="10" spans="2:15" x14ac:dyDescent="0.25">
      <c r="B10" s="6" t="s">
        <v>5</v>
      </c>
    </row>
    <row r="11" spans="2:15" x14ac:dyDescent="0.25">
      <c r="B11" s="6"/>
    </row>
    <row r="12" spans="2:15" x14ac:dyDescent="0.25">
      <c r="C12" s="35" t="s">
        <v>6</v>
      </c>
      <c r="D12" s="36"/>
      <c r="E12" s="37"/>
      <c r="F12" s="39" t="s">
        <v>7</v>
      </c>
      <c r="G12" s="39"/>
      <c r="H12" s="39"/>
      <c r="I12" s="39" t="s">
        <v>8</v>
      </c>
      <c r="J12" s="39"/>
      <c r="K12" s="39"/>
      <c r="L12" s="7" t="s">
        <v>9</v>
      </c>
      <c r="M12" s="7" t="s">
        <v>10</v>
      </c>
      <c r="O12" s="7" t="s">
        <v>11</v>
      </c>
    </row>
    <row r="13" spans="2:15" x14ac:dyDescent="0.25">
      <c r="B13" s="8" t="s">
        <v>12</v>
      </c>
      <c r="C13" s="40">
        <v>52</v>
      </c>
      <c r="D13" s="40"/>
      <c r="E13" s="40"/>
      <c r="F13" s="40">
        <v>52</v>
      </c>
      <c r="G13" s="40"/>
      <c r="H13" s="40"/>
      <c r="I13" s="40">
        <v>45</v>
      </c>
      <c r="J13" s="40"/>
      <c r="K13" s="40"/>
      <c r="L13" s="9">
        <f>F13-C13</f>
        <v>0</v>
      </c>
      <c r="M13" s="10">
        <f>F13/I13</f>
        <v>1.1555555555555554</v>
      </c>
      <c r="O13" s="29"/>
    </row>
    <row r="14" spans="2:15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2:15" x14ac:dyDescent="0.25">
      <c r="C15" s="35" t="s">
        <v>6</v>
      </c>
      <c r="D15" s="36"/>
      <c r="E15" s="37"/>
      <c r="F15" s="39" t="s">
        <v>7</v>
      </c>
      <c r="G15" s="39"/>
      <c r="H15" s="39"/>
      <c r="I15" s="39" t="s">
        <v>8</v>
      </c>
      <c r="J15" s="39"/>
      <c r="K15" s="39"/>
      <c r="L15" s="42" t="s">
        <v>9</v>
      </c>
      <c r="M15" s="42" t="s">
        <v>10</v>
      </c>
    </row>
    <row r="16" spans="2:15" x14ac:dyDescent="0.25">
      <c r="C16" s="7" t="s">
        <v>14</v>
      </c>
      <c r="D16" s="7" t="s">
        <v>15</v>
      </c>
      <c r="E16" s="7" t="s">
        <v>16</v>
      </c>
      <c r="F16" s="7" t="s">
        <v>14</v>
      </c>
      <c r="G16" s="7" t="s">
        <v>15</v>
      </c>
      <c r="H16" s="7" t="s">
        <v>16</v>
      </c>
      <c r="I16" s="7" t="s">
        <v>14</v>
      </c>
      <c r="J16" s="7" t="s">
        <v>15</v>
      </c>
      <c r="K16" s="7" t="s">
        <v>16</v>
      </c>
      <c r="L16" s="43"/>
      <c r="M16" s="43"/>
    </row>
    <row r="17" spans="2:13" x14ac:dyDescent="0.25">
      <c r="B17" s="8" t="s">
        <v>17</v>
      </c>
      <c r="C17" s="9">
        <v>1303</v>
      </c>
      <c r="D17" s="9">
        <v>340</v>
      </c>
      <c r="E17" s="9">
        <f>SUM(C17:D17)</f>
        <v>1643</v>
      </c>
      <c r="F17" s="9">
        <v>1141</v>
      </c>
      <c r="G17" s="9">
        <v>299</v>
      </c>
      <c r="H17" s="9">
        <f>SUM(F17:G17)</f>
        <v>1440</v>
      </c>
      <c r="I17" s="9">
        <v>945</v>
      </c>
      <c r="J17" s="9">
        <v>405</v>
      </c>
      <c r="K17" s="9">
        <f>SUM(I17:J17)</f>
        <v>1350</v>
      </c>
      <c r="L17" s="9">
        <f>H17-E17</f>
        <v>-203</v>
      </c>
      <c r="M17" s="10">
        <f>H17/K17</f>
        <v>1.0666666666666667</v>
      </c>
    </row>
    <row r="18" spans="2:13" x14ac:dyDescent="0.25">
      <c r="B18" s="1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4"/>
    </row>
    <row r="19" spans="2:13" x14ac:dyDescent="0.25"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2:13" x14ac:dyDescent="0.25">
      <c r="B20" s="6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2:13" x14ac:dyDescent="0.25">
      <c r="C21" s="35" t="s">
        <v>6</v>
      </c>
      <c r="D21" s="36"/>
      <c r="E21" s="37"/>
      <c r="F21" s="39" t="s">
        <v>7</v>
      </c>
      <c r="G21" s="39"/>
      <c r="H21" s="39"/>
      <c r="I21" s="39" t="s">
        <v>8</v>
      </c>
      <c r="J21" s="39"/>
      <c r="K21" s="39"/>
      <c r="L21" s="7" t="s">
        <v>9</v>
      </c>
      <c r="M21" s="7" t="s">
        <v>10</v>
      </c>
    </row>
    <row r="22" spans="2:13" x14ac:dyDescent="0.25">
      <c r="B22" s="8" t="s">
        <v>18</v>
      </c>
      <c r="C22" s="40">
        <v>5</v>
      </c>
      <c r="D22" s="40"/>
      <c r="E22" s="40"/>
      <c r="F22" s="40">
        <v>7</v>
      </c>
      <c r="G22" s="40"/>
      <c r="H22" s="40"/>
      <c r="I22" s="40">
        <v>7</v>
      </c>
      <c r="J22" s="40"/>
      <c r="K22" s="40"/>
      <c r="L22" s="9">
        <f>F22-C22</f>
        <v>2</v>
      </c>
      <c r="M22" s="10">
        <f>F22/I22</f>
        <v>1</v>
      </c>
    </row>
    <row r="23" spans="2:13" x14ac:dyDescent="0.25">
      <c r="B23" s="13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4"/>
    </row>
    <row r="24" spans="2:13" x14ac:dyDescent="0.25">
      <c r="B24" s="13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4"/>
    </row>
    <row r="25" spans="2:13" x14ac:dyDescent="0.25">
      <c r="B25" s="6" t="s">
        <v>19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2:13" x14ac:dyDescent="0.25">
      <c r="C26" s="35" t="s">
        <v>6</v>
      </c>
      <c r="D26" s="36"/>
      <c r="E26" s="37"/>
      <c r="F26" s="39" t="s">
        <v>7</v>
      </c>
      <c r="G26" s="39"/>
      <c r="H26" s="39"/>
      <c r="I26" s="39" t="s">
        <v>8</v>
      </c>
      <c r="J26" s="39"/>
      <c r="K26" s="39"/>
      <c r="L26" s="42" t="s">
        <v>9</v>
      </c>
      <c r="M26" s="42" t="s">
        <v>10</v>
      </c>
    </row>
    <row r="27" spans="2:13" x14ac:dyDescent="0.25">
      <c r="C27" s="7" t="s">
        <v>14</v>
      </c>
      <c r="D27" s="7" t="s">
        <v>15</v>
      </c>
      <c r="E27" s="7" t="s">
        <v>16</v>
      </c>
      <c r="F27" s="7" t="s">
        <v>14</v>
      </c>
      <c r="G27" s="7" t="s">
        <v>15</v>
      </c>
      <c r="H27" s="7" t="s">
        <v>16</v>
      </c>
      <c r="I27" s="7" t="s">
        <v>14</v>
      </c>
      <c r="J27" s="7" t="s">
        <v>15</v>
      </c>
      <c r="K27" s="7" t="s">
        <v>16</v>
      </c>
      <c r="L27" s="43"/>
      <c r="M27" s="43"/>
    </row>
    <row r="28" spans="2:13" x14ac:dyDescent="0.25">
      <c r="B28" s="8" t="s">
        <v>52</v>
      </c>
      <c r="C28" s="9" t="s">
        <v>53</v>
      </c>
      <c r="D28" s="9" t="s">
        <v>53</v>
      </c>
      <c r="E28" s="9" t="s">
        <v>53</v>
      </c>
      <c r="F28" s="9">
        <v>461</v>
      </c>
      <c r="G28" s="9">
        <v>89</v>
      </c>
      <c r="H28" s="15">
        <v>550</v>
      </c>
      <c r="I28" s="9">
        <f>I17</f>
        <v>945</v>
      </c>
      <c r="J28" s="9">
        <f>J17</f>
        <v>405</v>
      </c>
      <c r="K28" s="9">
        <f>SUM(I28:J28)</f>
        <v>1350</v>
      </c>
      <c r="L28" s="9" t="s">
        <v>53</v>
      </c>
      <c r="M28" s="16">
        <f>H28/K28</f>
        <v>0.40740740740740738</v>
      </c>
    </row>
    <row r="29" spans="2:13" hidden="1" x14ac:dyDescent="0.25"/>
    <row r="30" spans="2:13" hidden="1" x14ac:dyDescent="0.25">
      <c r="B30" s="17"/>
      <c r="C30" s="35" t="s">
        <v>6</v>
      </c>
      <c r="D30" s="36"/>
      <c r="E30" s="37"/>
      <c r="F30" s="39" t="s">
        <v>7</v>
      </c>
      <c r="G30" s="39"/>
      <c r="H30" s="39"/>
      <c r="I30" s="39" t="s">
        <v>21</v>
      </c>
      <c r="J30" s="39"/>
      <c r="K30" s="39"/>
      <c r="L30" s="42" t="s">
        <v>9</v>
      </c>
      <c r="M30" s="42" t="s">
        <v>10</v>
      </c>
    </row>
    <row r="31" spans="2:13" hidden="1" x14ac:dyDescent="0.25">
      <c r="C31" s="7" t="s">
        <v>14</v>
      </c>
      <c r="D31" s="7" t="s">
        <v>15</v>
      </c>
      <c r="E31" s="7" t="s">
        <v>16</v>
      </c>
      <c r="F31" s="7" t="s">
        <v>14</v>
      </c>
      <c r="G31" s="7" t="s">
        <v>15</v>
      </c>
      <c r="H31" s="7" t="s">
        <v>16</v>
      </c>
      <c r="I31" s="7" t="s">
        <v>14</v>
      </c>
      <c r="J31" s="7" t="s">
        <v>15</v>
      </c>
      <c r="K31" s="7" t="s">
        <v>16</v>
      </c>
      <c r="L31" s="43"/>
      <c r="M31" s="43"/>
    </row>
    <row r="32" spans="2:13" hidden="1" x14ac:dyDescent="0.25">
      <c r="B32" s="8" t="s">
        <v>52</v>
      </c>
      <c r="C32" s="9" t="s">
        <v>54</v>
      </c>
      <c r="D32" s="9" t="s">
        <v>54</v>
      </c>
      <c r="E32" s="9" t="s">
        <v>54</v>
      </c>
      <c r="F32" s="9">
        <v>461</v>
      </c>
      <c r="G32" s="9">
        <v>89</v>
      </c>
      <c r="H32" s="9">
        <v>550</v>
      </c>
      <c r="I32" s="9">
        <f>F17</f>
        <v>1141</v>
      </c>
      <c r="J32" s="9">
        <f>G17</f>
        <v>299</v>
      </c>
      <c r="K32" s="9">
        <f>SUM(I32:J32)</f>
        <v>1440</v>
      </c>
      <c r="L32" s="9" t="e">
        <f>H32-E32</f>
        <v>#VALUE!</v>
      </c>
      <c r="M32" s="10">
        <f>H28/K32</f>
        <v>0.38194444444444442</v>
      </c>
    </row>
    <row r="33" spans="2:13" x14ac:dyDescent="0.25">
      <c r="B33" s="1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4"/>
    </row>
    <row r="34" spans="2:13" x14ac:dyDescent="0.25">
      <c r="B34" s="13"/>
      <c r="C34" s="35" t="s">
        <v>6</v>
      </c>
      <c r="D34" s="36"/>
      <c r="E34" s="37"/>
      <c r="F34" s="39" t="s">
        <v>7</v>
      </c>
      <c r="G34" s="39"/>
      <c r="H34" s="39"/>
      <c r="I34" s="39" t="s">
        <v>8</v>
      </c>
      <c r="J34" s="39"/>
      <c r="K34" s="39"/>
      <c r="L34" s="42" t="s">
        <v>9</v>
      </c>
      <c r="M34" s="42" t="s">
        <v>10</v>
      </c>
    </row>
    <row r="35" spans="2:13" x14ac:dyDescent="0.25">
      <c r="B35" s="13"/>
      <c r="C35" s="7" t="s">
        <v>23</v>
      </c>
      <c r="D35" s="7" t="s">
        <v>24</v>
      </c>
      <c r="E35" s="7" t="s">
        <v>16</v>
      </c>
      <c r="F35" s="7" t="s">
        <v>23</v>
      </c>
      <c r="G35" s="7" t="s">
        <v>24</v>
      </c>
      <c r="H35" s="7" t="s">
        <v>16</v>
      </c>
      <c r="I35" s="7" t="s">
        <v>23</v>
      </c>
      <c r="J35" s="7" t="s">
        <v>24</v>
      </c>
      <c r="K35" s="7" t="s">
        <v>16</v>
      </c>
      <c r="L35" s="43"/>
      <c r="M35" s="43"/>
    </row>
    <row r="36" spans="2:13" x14ac:dyDescent="0.25">
      <c r="B36" s="8" t="s">
        <v>52</v>
      </c>
      <c r="C36" s="9" t="s">
        <v>53</v>
      </c>
      <c r="D36" s="9" t="s">
        <v>53</v>
      </c>
      <c r="E36" s="9" t="s">
        <v>53</v>
      </c>
      <c r="F36" s="9">
        <v>366</v>
      </c>
      <c r="G36" s="9">
        <v>184</v>
      </c>
      <c r="H36" s="9">
        <v>550</v>
      </c>
      <c r="I36" s="9">
        <v>594</v>
      </c>
      <c r="J36" s="9">
        <v>756</v>
      </c>
      <c r="K36" s="9">
        <f>SUM(I36:J36)</f>
        <v>1350</v>
      </c>
      <c r="L36" s="9" t="s">
        <v>53</v>
      </c>
      <c r="M36" s="10">
        <f>H36/K36</f>
        <v>0.40740740740740738</v>
      </c>
    </row>
    <row r="37" spans="2:13" x14ac:dyDescent="0.25">
      <c r="B37" s="1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4"/>
    </row>
    <row r="38" spans="2:13" x14ac:dyDescent="0.25">
      <c r="B38" s="6" t="s">
        <v>25</v>
      </c>
    </row>
    <row r="40" spans="2:13" x14ac:dyDescent="0.25">
      <c r="B40" s="19" t="s">
        <v>55</v>
      </c>
    </row>
    <row r="41" spans="2:13" x14ac:dyDescent="0.25">
      <c r="B41" s="44" t="s">
        <v>28</v>
      </c>
      <c r="C41" s="45" t="s">
        <v>16</v>
      </c>
      <c r="D41" s="45"/>
      <c r="E41" s="45"/>
      <c r="F41" s="45"/>
      <c r="G41" s="45"/>
    </row>
    <row r="42" spans="2:13" x14ac:dyDescent="0.25">
      <c r="B42" s="44"/>
      <c r="C42" s="20" t="s">
        <v>29</v>
      </c>
      <c r="D42" s="20" t="s">
        <v>30</v>
      </c>
      <c r="E42" s="20" t="s">
        <v>31</v>
      </c>
      <c r="F42" s="20" t="s">
        <v>32</v>
      </c>
      <c r="G42" s="20" t="s">
        <v>33</v>
      </c>
    </row>
    <row r="43" spans="2:13" x14ac:dyDescent="0.25">
      <c r="B43" s="21" t="s">
        <v>34</v>
      </c>
      <c r="C43" s="22">
        <f>$K$17</f>
        <v>1350</v>
      </c>
      <c r="D43" s="22">
        <f>$H$17</f>
        <v>1440</v>
      </c>
      <c r="E43" s="22">
        <v>1059</v>
      </c>
      <c r="F43" s="23">
        <f>E43/C43</f>
        <v>0.7844444444444445</v>
      </c>
      <c r="G43" s="23">
        <f>E43/D43</f>
        <v>0.73541666666666672</v>
      </c>
    </row>
    <row r="44" spans="2:13" x14ac:dyDescent="0.25">
      <c r="B44" s="21" t="s">
        <v>35</v>
      </c>
      <c r="C44" s="22">
        <f t="shared" ref="C44:C49" si="0">$K$17</f>
        <v>1350</v>
      </c>
      <c r="D44" s="22">
        <f t="shared" ref="D44:D49" si="1">$H$17</f>
        <v>1440</v>
      </c>
      <c r="E44" s="22">
        <v>947</v>
      </c>
      <c r="F44" s="23">
        <f>E44/C44</f>
        <v>0.70148148148148148</v>
      </c>
      <c r="G44" s="23">
        <f t="shared" ref="G44:G51" si="2">E44/D44</f>
        <v>0.65763888888888888</v>
      </c>
    </row>
    <row r="45" spans="2:13" x14ac:dyDescent="0.25">
      <c r="B45" s="21" t="s">
        <v>36</v>
      </c>
      <c r="C45" s="22">
        <f t="shared" si="0"/>
        <v>1350</v>
      </c>
      <c r="D45" s="22">
        <f t="shared" si="1"/>
        <v>1440</v>
      </c>
      <c r="E45" s="22">
        <v>954</v>
      </c>
      <c r="F45" s="23">
        <f>E45/C45</f>
        <v>0.70666666666666667</v>
      </c>
      <c r="G45" s="23">
        <f t="shared" si="2"/>
        <v>0.66249999999999998</v>
      </c>
    </row>
    <row r="46" spans="2:13" x14ac:dyDescent="0.25">
      <c r="B46" s="21" t="s">
        <v>37</v>
      </c>
      <c r="C46" s="22">
        <f t="shared" si="0"/>
        <v>1350</v>
      </c>
      <c r="D46" s="22">
        <f t="shared" si="1"/>
        <v>1440</v>
      </c>
      <c r="E46" s="22">
        <v>1068</v>
      </c>
      <c r="F46" s="23">
        <f>E46/C46</f>
        <v>0.7911111111111111</v>
      </c>
      <c r="G46" s="23">
        <f t="shared" si="2"/>
        <v>0.7416666666666667</v>
      </c>
    </row>
    <row r="47" spans="2:13" x14ac:dyDescent="0.25">
      <c r="B47" s="21" t="s">
        <v>38</v>
      </c>
      <c r="C47" s="22">
        <f t="shared" si="0"/>
        <v>1350</v>
      </c>
      <c r="D47" s="22">
        <f t="shared" si="1"/>
        <v>1440</v>
      </c>
      <c r="E47" s="22">
        <v>1150</v>
      </c>
      <c r="F47" s="23">
        <f t="shared" ref="F47:F48" si="3">E47/C47</f>
        <v>0.85185185185185186</v>
      </c>
      <c r="G47" s="23">
        <f t="shared" si="2"/>
        <v>0.79861111111111116</v>
      </c>
    </row>
    <row r="48" spans="2:13" x14ac:dyDescent="0.25">
      <c r="B48" s="21" t="s">
        <v>56</v>
      </c>
      <c r="C48" s="22">
        <f t="shared" si="0"/>
        <v>1350</v>
      </c>
      <c r="D48" s="22">
        <f t="shared" si="1"/>
        <v>1440</v>
      </c>
      <c r="E48" s="22">
        <v>986</v>
      </c>
      <c r="F48" s="23">
        <f t="shared" si="3"/>
        <v>0.73037037037037034</v>
      </c>
      <c r="G48" s="23">
        <f t="shared" si="2"/>
        <v>0.68472222222222223</v>
      </c>
    </row>
    <row r="49" spans="2:9" x14ac:dyDescent="0.25">
      <c r="B49" s="21" t="s">
        <v>57</v>
      </c>
      <c r="C49" s="22">
        <f t="shared" si="0"/>
        <v>1350</v>
      </c>
      <c r="D49" s="22">
        <f t="shared" si="1"/>
        <v>1440</v>
      </c>
      <c r="E49" s="22">
        <v>1047</v>
      </c>
      <c r="F49" s="23">
        <f>E49/C49</f>
        <v>0.77555555555555555</v>
      </c>
      <c r="G49" s="23">
        <f t="shared" si="2"/>
        <v>0.7270833333333333</v>
      </c>
    </row>
    <row r="50" spans="2:9" x14ac:dyDescent="0.25">
      <c r="B50" s="24" t="s">
        <v>39</v>
      </c>
      <c r="C50" s="25">
        <f>AVERAGE(C43:C45,C46:C49)</f>
        <v>1350</v>
      </c>
      <c r="D50" s="25">
        <f t="shared" ref="D50:E51" si="4">AVERAGE(D43:D45,D46:D49)</f>
        <v>1440</v>
      </c>
      <c r="E50" s="26">
        <f t="shared" si="4"/>
        <v>1030.1428571428571</v>
      </c>
      <c r="F50" s="27">
        <f>E50/C50</f>
        <v>0.76306878306878301</v>
      </c>
      <c r="G50" s="28">
        <f t="shared" si="2"/>
        <v>0.71537698412698414</v>
      </c>
      <c r="I50" s="30"/>
    </row>
    <row r="51" spans="2:9" x14ac:dyDescent="0.25">
      <c r="B51" s="31" t="s">
        <v>58</v>
      </c>
      <c r="C51" s="32">
        <f>AVERAGE(C44:C46,C47:C50)</f>
        <v>1350</v>
      </c>
      <c r="D51" s="32">
        <f t="shared" si="4"/>
        <v>1440</v>
      </c>
      <c r="E51" s="32">
        <v>1024</v>
      </c>
      <c r="F51" s="33">
        <f>E51/C51</f>
        <v>0.75851851851851848</v>
      </c>
      <c r="G51" s="33">
        <f t="shared" si="2"/>
        <v>0.71111111111111114</v>
      </c>
    </row>
    <row r="53" spans="2:9" x14ac:dyDescent="0.25">
      <c r="B53" s="19" t="s">
        <v>59</v>
      </c>
    </row>
    <row r="54" spans="2:9" x14ac:dyDescent="0.25">
      <c r="B54" s="44" t="s">
        <v>28</v>
      </c>
      <c r="C54" s="45" t="s">
        <v>16</v>
      </c>
      <c r="D54" s="45"/>
      <c r="E54" s="45"/>
      <c r="F54" s="45"/>
      <c r="G54" s="45"/>
    </row>
    <row r="55" spans="2:9" x14ac:dyDescent="0.25">
      <c r="B55" s="44"/>
      <c r="C55" s="20" t="s">
        <v>29</v>
      </c>
      <c r="D55" s="20" t="s">
        <v>30</v>
      </c>
      <c r="E55" s="20" t="s">
        <v>31</v>
      </c>
      <c r="F55" s="20" t="s">
        <v>32</v>
      </c>
      <c r="G55" s="20" t="s">
        <v>33</v>
      </c>
    </row>
    <row r="56" spans="2:9" x14ac:dyDescent="0.25">
      <c r="B56" s="21" t="s">
        <v>34</v>
      </c>
      <c r="C56" s="22">
        <f>$J$17</f>
        <v>405</v>
      </c>
      <c r="D56" s="22">
        <f>$G$17</f>
        <v>299</v>
      </c>
      <c r="E56" s="22">
        <v>200</v>
      </c>
      <c r="F56" s="23">
        <f>E56/C56</f>
        <v>0.49382716049382713</v>
      </c>
      <c r="G56" s="23">
        <f>E56/D56</f>
        <v>0.66889632107023411</v>
      </c>
    </row>
    <row r="57" spans="2:9" x14ac:dyDescent="0.25">
      <c r="B57" s="21" t="s">
        <v>35</v>
      </c>
      <c r="C57" s="22">
        <f t="shared" ref="C57:C62" si="5">$J$17</f>
        <v>405</v>
      </c>
      <c r="D57" s="22">
        <f t="shared" ref="D57:D62" si="6">$G$17</f>
        <v>299</v>
      </c>
      <c r="E57" s="22">
        <v>164</v>
      </c>
      <c r="F57" s="23">
        <f>E57/C57</f>
        <v>0.40493827160493828</v>
      </c>
      <c r="G57" s="23">
        <f t="shared" ref="G57:G64" si="7">E57/D57</f>
        <v>0.54849498327759194</v>
      </c>
    </row>
    <row r="58" spans="2:9" x14ac:dyDescent="0.25">
      <c r="B58" s="21" t="s">
        <v>36</v>
      </c>
      <c r="C58" s="22">
        <f t="shared" si="5"/>
        <v>405</v>
      </c>
      <c r="D58" s="22">
        <f t="shared" si="6"/>
        <v>299</v>
      </c>
      <c r="E58" s="22">
        <v>167</v>
      </c>
      <c r="F58" s="23">
        <f>E58/C58</f>
        <v>0.4123456790123457</v>
      </c>
      <c r="G58" s="23">
        <f t="shared" si="7"/>
        <v>0.55852842809364545</v>
      </c>
    </row>
    <row r="59" spans="2:9" x14ac:dyDescent="0.25">
      <c r="B59" s="21" t="s">
        <v>37</v>
      </c>
      <c r="C59" s="22">
        <f t="shared" si="5"/>
        <v>405</v>
      </c>
      <c r="D59" s="22">
        <f t="shared" si="6"/>
        <v>299</v>
      </c>
      <c r="E59" s="22">
        <v>229</v>
      </c>
      <c r="F59" s="23">
        <f>E59/C59</f>
        <v>0.5654320987654321</v>
      </c>
      <c r="G59" s="23">
        <f t="shared" si="7"/>
        <v>0.76588628762541811</v>
      </c>
    </row>
    <row r="60" spans="2:9" x14ac:dyDescent="0.25">
      <c r="B60" s="21" t="s">
        <v>38</v>
      </c>
      <c r="C60" s="22">
        <f t="shared" si="5"/>
        <v>405</v>
      </c>
      <c r="D60" s="22">
        <f t="shared" si="6"/>
        <v>299</v>
      </c>
      <c r="E60" s="22">
        <v>219</v>
      </c>
      <c r="F60" s="23">
        <f t="shared" ref="F60:F61" si="8">E60/C60</f>
        <v>0.54074074074074074</v>
      </c>
      <c r="G60" s="23">
        <f t="shared" si="7"/>
        <v>0.73244147157190631</v>
      </c>
    </row>
    <row r="61" spans="2:9" x14ac:dyDescent="0.25">
      <c r="B61" s="21" t="s">
        <v>56</v>
      </c>
      <c r="C61" s="22">
        <f t="shared" si="5"/>
        <v>405</v>
      </c>
      <c r="D61" s="22">
        <f t="shared" si="6"/>
        <v>299</v>
      </c>
      <c r="E61" s="22">
        <v>188</v>
      </c>
      <c r="F61" s="23">
        <f t="shared" si="8"/>
        <v>0.46419753086419752</v>
      </c>
      <c r="G61" s="23">
        <f t="shared" si="7"/>
        <v>0.62876254180602009</v>
      </c>
    </row>
    <row r="62" spans="2:9" x14ac:dyDescent="0.25">
      <c r="B62" s="21" t="s">
        <v>57</v>
      </c>
      <c r="C62" s="22">
        <f t="shared" si="5"/>
        <v>405</v>
      </c>
      <c r="D62" s="22">
        <f t="shared" si="6"/>
        <v>299</v>
      </c>
      <c r="E62" s="22">
        <v>217</v>
      </c>
      <c r="F62" s="23">
        <f>E62/C62</f>
        <v>0.53580246913580243</v>
      </c>
      <c r="G62" s="23">
        <f t="shared" si="7"/>
        <v>0.72575250836120397</v>
      </c>
    </row>
    <row r="63" spans="2:9" x14ac:dyDescent="0.25">
      <c r="B63" s="24" t="s">
        <v>39</v>
      </c>
      <c r="C63" s="25">
        <f>AVERAGE(C56:C62)</f>
        <v>405</v>
      </c>
      <c r="D63" s="25">
        <f>AVERAGE(D56:D62)</f>
        <v>299</v>
      </c>
      <c r="E63" s="26">
        <f t="shared" ref="E63" si="9">AVERAGE(E56:E62)</f>
        <v>197.71428571428572</v>
      </c>
      <c r="F63" s="27">
        <f>E63/C63</f>
        <v>0.48818342151675487</v>
      </c>
      <c r="G63" s="28">
        <f t="shared" si="7"/>
        <v>0.66125179168657433</v>
      </c>
    </row>
    <row r="64" spans="2:9" x14ac:dyDescent="0.25">
      <c r="B64" s="31" t="s">
        <v>58</v>
      </c>
      <c r="C64" s="32">
        <f>AVERAGE(C57:C59,C60:C63)</f>
        <v>405</v>
      </c>
      <c r="D64" s="32">
        <f t="shared" ref="D64" si="10">AVERAGE(D57:D59,D60:D63)</f>
        <v>299</v>
      </c>
      <c r="E64" s="32">
        <v>190</v>
      </c>
      <c r="F64" s="33">
        <f>E64/C64</f>
        <v>0.46913580246913578</v>
      </c>
      <c r="G64" s="33">
        <f t="shared" si="7"/>
        <v>0.63545150501672243</v>
      </c>
    </row>
    <row r="66" spans="2:7" x14ac:dyDescent="0.25">
      <c r="B66" s="19" t="s">
        <v>60</v>
      </c>
    </row>
    <row r="67" spans="2:7" x14ac:dyDescent="0.25">
      <c r="B67" s="44" t="s">
        <v>28</v>
      </c>
      <c r="C67" s="45" t="s">
        <v>16</v>
      </c>
      <c r="D67" s="45"/>
      <c r="E67" s="45"/>
      <c r="F67" s="45"/>
      <c r="G67" s="45"/>
    </row>
    <row r="68" spans="2:7" x14ac:dyDescent="0.25">
      <c r="B68" s="44"/>
      <c r="C68" s="20" t="s">
        <v>29</v>
      </c>
      <c r="D68" s="20" t="s">
        <v>30</v>
      </c>
      <c r="E68" s="20" t="s">
        <v>31</v>
      </c>
      <c r="F68" s="20" t="s">
        <v>32</v>
      </c>
      <c r="G68" s="20" t="s">
        <v>33</v>
      </c>
    </row>
    <row r="69" spans="2:7" x14ac:dyDescent="0.25">
      <c r="B69" s="21" t="s">
        <v>34</v>
      </c>
      <c r="C69" s="22">
        <f>$I$17</f>
        <v>945</v>
      </c>
      <c r="D69" s="22">
        <f>$F$17</f>
        <v>1141</v>
      </c>
      <c r="E69" s="22">
        <v>859</v>
      </c>
      <c r="F69" s="23">
        <f>E69/C69</f>
        <v>0.90899470899470902</v>
      </c>
      <c r="G69" s="23">
        <f>E69/D69</f>
        <v>0.75284837861524978</v>
      </c>
    </row>
    <row r="70" spans="2:7" x14ac:dyDescent="0.25">
      <c r="B70" s="21" t="s">
        <v>35</v>
      </c>
      <c r="C70" s="22">
        <f t="shared" ref="C70:C75" si="11">$I$17</f>
        <v>945</v>
      </c>
      <c r="D70" s="22">
        <f t="shared" ref="D70:D75" si="12">$F$17</f>
        <v>1141</v>
      </c>
      <c r="E70" s="22">
        <v>783</v>
      </c>
      <c r="F70" s="23">
        <f>E70/C70</f>
        <v>0.82857142857142863</v>
      </c>
      <c r="G70" s="23">
        <f t="shared" ref="G70:G77" si="13">E70/D70</f>
        <v>0.68624014022787028</v>
      </c>
    </row>
    <row r="71" spans="2:7" x14ac:dyDescent="0.25">
      <c r="B71" s="21" t="s">
        <v>36</v>
      </c>
      <c r="C71" s="22">
        <f t="shared" si="11"/>
        <v>945</v>
      </c>
      <c r="D71" s="22">
        <f t="shared" si="12"/>
        <v>1141</v>
      </c>
      <c r="E71" s="22">
        <v>787</v>
      </c>
      <c r="F71" s="23">
        <f>E71/C71</f>
        <v>0.83280423280423277</v>
      </c>
      <c r="G71" s="23">
        <f t="shared" si="13"/>
        <v>0.68974583698510084</v>
      </c>
    </row>
    <row r="72" spans="2:7" x14ac:dyDescent="0.25">
      <c r="B72" s="21" t="s">
        <v>37</v>
      </c>
      <c r="C72" s="22">
        <f t="shared" si="11"/>
        <v>945</v>
      </c>
      <c r="D72" s="22">
        <f t="shared" si="12"/>
        <v>1141</v>
      </c>
      <c r="E72" s="22">
        <v>839</v>
      </c>
      <c r="F72" s="23">
        <f>E72/C72</f>
        <v>0.88783068783068786</v>
      </c>
      <c r="G72" s="23">
        <f t="shared" si="13"/>
        <v>0.73531989482909732</v>
      </c>
    </row>
    <row r="73" spans="2:7" x14ac:dyDescent="0.25">
      <c r="B73" s="21" t="s">
        <v>38</v>
      </c>
      <c r="C73" s="22">
        <f t="shared" si="11"/>
        <v>945</v>
      </c>
      <c r="D73" s="22">
        <f t="shared" si="12"/>
        <v>1141</v>
      </c>
      <c r="E73" s="22">
        <v>931</v>
      </c>
      <c r="F73" s="23">
        <f t="shared" ref="F73:F74" si="14">E73/C73</f>
        <v>0.98518518518518516</v>
      </c>
      <c r="G73" s="23">
        <f t="shared" si="13"/>
        <v>0.81595092024539873</v>
      </c>
    </row>
    <row r="74" spans="2:7" x14ac:dyDescent="0.25">
      <c r="B74" s="21" t="s">
        <v>56</v>
      </c>
      <c r="C74" s="22">
        <f t="shared" si="11"/>
        <v>945</v>
      </c>
      <c r="D74" s="22">
        <f t="shared" si="12"/>
        <v>1141</v>
      </c>
      <c r="E74" s="22">
        <v>798</v>
      </c>
      <c r="F74" s="23">
        <f t="shared" si="14"/>
        <v>0.84444444444444444</v>
      </c>
      <c r="G74" s="23">
        <f t="shared" si="13"/>
        <v>0.69938650306748462</v>
      </c>
    </row>
    <row r="75" spans="2:7" x14ac:dyDescent="0.25">
      <c r="B75" s="21" t="s">
        <v>57</v>
      </c>
      <c r="C75" s="22">
        <f t="shared" si="11"/>
        <v>945</v>
      </c>
      <c r="D75" s="22">
        <f t="shared" si="12"/>
        <v>1141</v>
      </c>
      <c r="E75" s="22">
        <v>830</v>
      </c>
      <c r="F75" s="23">
        <f>E75/C75</f>
        <v>0.87830687830687826</v>
      </c>
      <c r="G75" s="23">
        <f t="shared" si="13"/>
        <v>0.72743207712532865</v>
      </c>
    </row>
    <row r="76" spans="2:7" x14ac:dyDescent="0.25">
      <c r="B76" s="24" t="s">
        <v>39</v>
      </c>
      <c r="C76" s="25">
        <f>AVERAGE(C69:C75)</f>
        <v>945</v>
      </c>
      <c r="D76" s="25">
        <f>AVERAGE(D69:D75)</f>
        <v>1141</v>
      </c>
      <c r="E76" s="26">
        <f>AVERAGE(E69:E75)</f>
        <v>832.42857142857144</v>
      </c>
      <c r="F76" s="27">
        <f>E76/C76</f>
        <v>0.8808767951625095</v>
      </c>
      <c r="G76" s="28">
        <f t="shared" si="13"/>
        <v>0.72956053587079006</v>
      </c>
    </row>
    <row r="77" spans="2:7" x14ac:dyDescent="0.25">
      <c r="B77" s="31" t="s">
        <v>58</v>
      </c>
      <c r="C77" s="32">
        <f>AVERAGE(C70:C72,C73:C76)</f>
        <v>945</v>
      </c>
      <c r="D77" s="32">
        <f t="shared" ref="D77" si="15">AVERAGE(D70:D72,D73:D76)</f>
        <v>1141</v>
      </c>
      <c r="E77" s="32">
        <v>834</v>
      </c>
      <c r="F77" s="33">
        <f>E77/C77</f>
        <v>0.88253968253968251</v>
      </c>
      <c r="G77" s="33">
        <f t="shared" si="13"/>
        <v>0.73093777388255921</v>
      </c>
    </row>
    <row r="79" spans="2:7" x14ac:dyDescent="0.25">
      <c r="B79" s="34" t="s">
        <v>61</v>
      </c>
    </row>
  </sheetData>
  <mergeCells count="38">
    <mergeCell ref="C21:E21"/>
    <mergeCell ref="F21:H21"/>
    <mergeCell ref="I21:K21"/>
    <mergeCell ref="C12:E12"/>
    <mergeCell ref="F12:H12"/>
    <mergeCell ref="I12:K12"/>
    <mergeCell ref="C13:E13"/>
    <mergeCell ref="F13:H13"/>
    <mergeCell ref="I13:K13"/>
    <mergeCell ref="C15:E15"/>
    <mergeCell ref="F15:H15"/>
    <mergeCell ref="I15:K15"/>
    <mergeCell ref="L15:L16"/>
    <mergeCell ref="M15:M16"/>
    <mergeCell ref="C22:E22"/>
    <mergeCell ref="F22:H22"/>
    <mergeCell ref="I22:K22"/>
    <mergeCell ref="C26:E26"/>
    <mergeCell ref="F26:H26"/>
    <mergeCell ref="I26:K26"/>
    <mergeCell ref="L26:L27"/>
    <mergeCell ref="M26:M27"/>
    <mergeCell ref="C30:E30"/>
    <mergeCell ref="F30:H30"/>
    <mergeCell ref="I30:K30"/>
    <mergeCell ref="L30:L31"/>
    <mergeCell ref="M30:M31"/>
    <mergeCell ref="I34:K34"/>
    <mergeCell ref="L34:L35"/>
    <mergeCell ref="M34:M35"/>
    <mergeCell ref="B41:B42"/>
    <mergeCell ref="C41:G41"/>
    <mergeCell ref="B54:B55"/>
    <mergeCell ref="C54:G54"/>
    <mergeCell ref="B67:B68"/>
    <mergeCell ref="C67:G67"/>
    <mergeCell ref="C34:E34"/>
    <mergeCell ref="F34:H3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B0C7-47D7-4DA1-9170-413117346BE7}">
  <sheetPr>
    <tabColor rgb="FF00B050"/>
  </sheetPr>
  <dimension ref="B2:P66"/>
  <sheetViews>
    <sheetView zoomScale="115" zoomScaleNormal="115" workbookViewId="0">
      <selection activeCell="E67" sqref="E67"/>
    </sheetView>
  </sheetViews>
  <sheetFormatPr defaultRowHeight="15" x14ac:dyDescent="0.25"/>
  <cols>
    <col min="1" max="1" width="3.140625" customWidth="1"/>
    <col min="2" max="2" width="29.85546875" customWidth="1"/>
    <col min="3" max="11" width="9.7109375" customWidth="1"/>
    <col min="12" max="13" width="11.42578125" customWidth="1"/>
    <col min="14" max="14" width="2.7109375" customWidth="1"/>
    <col min="15" max="15" width="66.5703125" customWidth="1"/>
  </cols>
  <sheetData>
    <row r="2" spans="2:15" ht="21" x14ac:dyDescent="0.35">
      <c r="B2" s="1" t="s">
        <v>62</v>
      </c>
    </row>
    <row r="3" spans="2:15" ht="21" x14ac:dyDescent="0.35">
      <c r="B3" s="1" t="s">
        <v>1</v>
      </c>
    </row>
    <row r="4" spans="2:15" ht="9" customHeight="1" x14ac:dyDescent="0.35">
      <c r="B4" s="1"/>
    </row>
    <row r="5" spans="2:15" x14ac:dyDescent="0.25">
      <c r="B5" s="2" t="s">
        <v>2</v>
      </c>
    </row>
    <row r="6" spans="2:15" s="3" customFormat="1" ht="12" x14ac:dyDescent="0.2">
      <c r="B6" s="2" t="s">
        <v>3</v>
      </c>
    </row>
    <row r="8" spans="2:15" x14ac:dyDescent="0.25">
      <c r="B8" s="4" t="s">
        <v>63</v>
      </c>
    </row>
    <row r="9" spans="2:15" x14ac:dyDescent="0.25">
      <c r="B9" s="5"/>
    </row>
    <row r="10" spans="2:15" x14ac:dyDescent="0.25">
      <c r="B10" s="6" t="s">
        <v>5</v>
      </c>
    </row>
    <row r="11" spans="2:15" x14ac:dyDescent="0.25">
      <c r="B11" s="6"/>
    </row>
    <row r="12" spans="2:15" x14ac:dyDescent="0.25">
      <c r="C12" s="35" t="s">
        <v>6</v>
      </c>
      <c r="D12" s="36"/>
      <c r="E12" s="37"/>
      <c r="F12" s="38" t="s">
        <v>7</v>
      </c>
      <c r="G12" s="38"/>
      <c r="H12" s="38"/>
      <c r="I12" s="39" t="s">
        <v>8</v>
      </c>
      <c r="J12" s="39"/>
      <c r="K12" s="39"/>
      <c r="L12" s="7" t="s">
        <v>9</v>
      </c>
      <c r="M12" s="7" t="s">
        <v>10</v>
      </c>
      <c r="O12" s="7" t="s">
        <v>11</v>
      </c>
    </row>
    <row r="13" spans="2:15" x14ac:dyDescent="0.25">
      <c r="B13" s="8" t="s">
        <v>12</v>
      </c>
      <c r="C13" s="40">
        <v>111</v>
      </c>
      <c r="D13" s="40"/>
      <c r="E13" s="40"/>
      <c r="F13" s="40">
        <v>113</v>
      </c>
      <c r="G13" s="40"/>
      <c r="H13" s="40"/>
      <c r="I13" s="40">
        <v>110</v>
      </c>
      <c r="J13" s="40"/>
      <c r="K13" s="40"/>
      <c r="L13" s="9">
        <f>F13-C13</f>
        <v>2</v>
      </c>
      <c r="M13" s="10">
        <f>F13/I13</f>
        <v>1.0272727272727273</v>
      </c>
      <c r="O13" s="41" t="s">
        <v>64</v>
      </c>
    </row>
    <row r="14" spans="2:15" x14ac:dyDescent="0.2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O14" s="41"/>
    </row>
    <row r="15" spans="2:15" x14ac:dyDescent="0.25">
      <c r="C15" s="35" t="s">
        <v>6</v>
      </c>
      <c r="D15" s="36"/>
      <c r="E15" s="37"/>
      <c r="F15" s="38" t="s">
        <v>7</v>
      </c>
      <c r="G15" s="38"/>
      <c r="H15" s="38"/>
      <c r="I15" s="39" t="s">
        <v>8</v>
      </c>
      <c r="J15" s="39"/>
      <c r="K15" s="39"/>
      <c r="L15" s="42" t="s">
        <v>9</v>
      </c>
      <c r="M15" s="42" t="s">
        <v>10</v>
      </c>
      <c r="O15" s="41"/>
    </row>
    <row r="16" spans="2:15" x14ac:dyDescent="0.25">
      <c r="C16" s="7" t="s">
        <v>14</v>
      </c>
      <c r="D16" s="7" t="s">
        <v>15</v>
      </c>
      <c r="E16" s="7" t="s">
        <v>16</v>
      </c>
      <c r="F16" s="12" t="s">
        <v>14</v>
      </c>
      <c r="G16" s="12" t="s">
        <v>15</v>
      </c>
      <c r="H16" s="12" t="s">
        <v>16</v>
      </c>
      <c r="I16" s="7" t="s">
        <v>14</v>
      </c>
      <c r="J16" s="7" t="s">
        <v>15</v>
      </c>
      <c r="K16" s="7" t="s">
        <v>16</v>
      </c>
      <c r="L16" s="43"/>
      <c r="M16" s="43"/>
      <c r="O16" s="41"/>
    </row>
    <row r="17" spans="2:15" x14ac:dyDescent="0.25">
      <c r="B17" s="8" t="s">
        <v>17</v>
      </c>
      <c r="C17" s="9">
        <v>2735</v>
      </c>
      <c r="D17" s="9">
        <v>807</v>
      </c>
      <c r="E17" s="9">
        <f>SUM(C17:D17)</f>
        <v>3542</v>
      </c>
      <c r="F17" s="9">
        <v>2765</v>
      </c>
      <c r="G17" s="9">
        <v>861</v>
      </c>
      <c r="H17" s="9">
        <f>SUM(F17:G17)</f>
        <v>3626</v>
      </c>
      <c r="I17" s="9">
        <v>3000</v>
      </c>
      <c r="J17" s="9">
        <v>0</v>
      </c>
      <c r="K17" s="9">
        <f>SUM(I17:J17)</f>
        <v>3000</v>
      </c>
      <c r="L17" s="9">
        <f>H17-E17</f>
        <v>84</v>
      </c>
      <c r="M17" s="10">
        <f>H17/K17</f>
        <v>1.2086666666666666</v>
      </c>
      <c r="O17" s="41"/>
    </row>
    <row r="18" spans="2:15" x14ac:dyDescent="0.25">
      <c r="B18" s="13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4"/>
      <c r="O18" s="41"/>
    </row>
    <row r="19" spans="2:15" x14ac:dyDescent="0.25">
      <c r="C19" s="35" t="s">
        <v>6</v>
      </c>
      <c r="D19" s="36"/>
      <c r="E19" s="37"/>
      <c r="F19" s="38" t="s">
        <v>7</v>
      </c>
      <c r="G19" s="38"/>
      <c r="H19" s="38"/>
      <c r="I19" s="39" t="s">
        <v>8</v>
      </c>
      <c r="J19" s="39"/>
      <c r="K19" s="39"/>
      <c r="L19" s="7" t="s">
        <v>9</v>
      </c>
      <c r="M19" s="7" t="s">
        <v>10</v>
      </c>
      <c r="O19" s="41"/>
    </row>
    <row r="20" spans="2:15" x14ac:dyDescent="0.25">
      <c r="B20" s="8" t="s">
        <v>18</v>
      </c>
      <c r="C20" s="40">
        <v>3</v>
      </c>
      <c r="D20" s="40"/>
      <c r="E20" s="40"/>
      <c r="F20" s="40">
        <v>2</v>
      </c>
      <c r="G20" s="40"/>
      <c r="H20" s="40"/>
      <c r="I20" s="40">
        <v>6</v>
      </c>
      <c r="J20" s="40"/>
      <c r="K20" s="40"/>
      <c r="L20" s="9">
        <f>F20-C20</f>
        <v>-1</v>
      </c>
      <c r="M20" s="10">
        <f>(C20+F20)/I20</f>
        <v>0.83333333333333337</v>
      </c>
      <c r="O20" s="41"/>
    </row>
    <row r="21" spans="2:15" x14ac:dyDescent="0.25">
      <c r="B21" s="13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4"/>
    </row>
    <row r="22" spans="2:15" hidden="1" x14ac:dyDescent="0.25">
      <c r="B22" s="6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2:15" hidden="1" x14ac:dyDescent="0.2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2:15" hidden="1" x14ac:dyDescent="0.25">
      <c r="C24" s="35"/>
      <c r="D24" s="36"/>
      <c r="E24" s="37"/>
      <c r="F24" s="38"/>
      <c r="G24" s="38"/>
      <c r="H24" s="38"/>
      <c r="I24" s="39" t="s">
        <v>8</v>
      </c>
      <c r="J24" s="39"/>
      <c r="K24" s="39"/>
      <c r="L24" s="42" t="s">
        <v>9</v>
      </c>
      <c r="M24" s="42" t="s">
        <v>10</v>
      </c>
    </row>
    <row r="25" spans="2:15" hidden="1" x14ac:dyDescent="0.25">
      <c r="C25" s="7"/>
      <c r="D25" s="7"/>
      <c r="E25" s="7"/>
      <c r="F25" s="12"/>
      <c r="G25" s="12"/>
      <c r="H25" s="12"/>
      <c r="I25" s="7" t="s">
        <v>14</v>
      </c>
      <c r="J25" s="7" t="s">
        <v>15</v>
      </c>
      <c r="K25" s="7" t="s">
        <v>16</v>
      </c>
      <c r="L25" s="43"/>
      <c r="M25" s="43"/>
    </row>
    <row r="26" spans="2:15" hidden="1" x14ac:dyDescent="0.25">
      <c r="B26" s="8" t="s">
        <v>20</v>
      </c>
      <c r="C26" s="9"/>
      <c r="D26" s="9"/>
      <c r="E26" s="9"/>
      <c r="F26" s="9"/>
      <c r="G26" s="9"/>
      <c r="H26" s="15"/>
      <c r="I26" s="9">
        <v>840</v>
      </c>
      <c r="J26" s="9">
        <v>360</v>
      </c>
      <c r="K26" s="9">
        <f>SUM(I26:J26)</f>
        <v>1200</v>
      </c>
      <c r="L26" s="9">
        <f>H26-E26</f>
        <v>0</v>
      </c>
      <c r="M26" s="16">
        <f>H26/K26</f>
        <v>0</v>
      </c>
    </row>
    <row r="27" spans="2:15" hidden="1" x14ac:dyDescent="0.25"/>
    <row r="28" spans="2:15" hidden="1" x14ac:dyDescent="0.25">
      <c r="B28" s="17"/>
      <c r="C28" s="35"/>
      <c r="D28" s="36"/>
      <c r="E28" s="37"/>
      <c r="F28" s="39"/>
      <c r="G28" s="39"/>
      <c r="H28" s="39"/>
      <c r="I28" s="39" t="s">
        <v>21</v>
      </c>
      <c r="J28" s="39"/>
      <c r="K28" s="39"/>
      <c r="L28" s="42" t="s">
        <v>9</v>
      </c>
      <c r="M28" s="42" t="s">
        <v>10</v>
      </c>
    </row>
    <row r="29" spans="2:15" hidden="1" x14ac:dyDescent="0.25">
      <c r="C29" s="7"/>
      <c r="D29" s="7"/>
      <c r="E29" s="7"/>
      <c r="F29" s="7"/>
      <c r="G29" s="7"/>
      <c r="H29" s="7"/>
      <c r="I29" s="7" t="s">
        <v>14</v>
      </c>
      <c r="J29" s="7" t="s">
        <v>15</v>
      </c>
      <c r="K29" s="7" t="s">
        <v>16</v>
      </c>
      <c r="L29" s="43"/>
      <c r="M29" s="43"/>
    </row>
    <row r="30" spans="2:15" hidden="1" x14ac:dyDescent="0.25">
      <c r="B30" s="8" t="s">
        <v>22</v>
      </c>
      <c r="C30" s="9"/>
      <c r="D30" s="9"/>
      <c r="E30" s="9"/>
      <c r="F30" s="9"/>
      <c r="G30" s="9"/>
      <c r="H30" s="9"/>
      <c r="I30" s="9">
        <f>F17</f>
        <v>2765</v>
      </c>
      <c r="J30" s="9">
        <f>G17</f>
        <v>861</v>
      </c>
      <c r="K30" s="9">
        <f>SUM(I30:J30)</f>
        <v>3626</v>
      </c>
      <c r="L30" s="9">
        <f>H30-E30</f>
        <v>0</v>
      </c>
      <c r="M30" s="10">
        <f>H26/K30</f>
        <v>0</v>
      </c>
    </row>
    <row r="31" spans="2:15" hidden="1" x14ac:dyDescent="0.25">
      <c r="B31" s="1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4"/>
    </row>
    <row r="32" spans="2:15" hidden="1" x14ac:dyDescent="0.25">
      <c r="B32" s="13"/>
      <c r="C32" s="35"/>
      <c r="D32" s="36"/>
      <c r="E32" s="37"/>
      <c r="F32" s="38"/>
      <c r="G32" s="38"/>
      <c r="H32" s="38"/>
      <c r="I32" s="39" t="s">
        <v>8</v>
      </c>
      <c r="J32" s="39"/>
      <c r="K32" s="39"/>
      <c r="L32" s="42" t="s">
        <v>9</v>
      </c>
      <c r="M32" s="42" t="s">
        <v>10</v>
      </c>
    </row>
    <row r="33" spans="2:16" hidden="1" x14ac:dyDescent="0.25">
      <c r="B33" s="13"/>
      <c r="C33" s="7"/>
      <c r="D33" s="7"/>
      <c r="E33" s="7"/>
      <c r="F33" s="12"/>
      <c r="G33" s="12"/>
      <c r="H33" s="12"/>
      <c r="I33" s="7" t="s">
        <v>23</v>
      </c>
      <c r="J33" s="7" t="s">
        <v>24</v>
      </c>
      <c r="K33" s="7" t="s">
        <v>16</v>
      </c>
      <c r="L33" s="43"/>
      <c r="M33" s="43"/>
    </row>
    <row r="34" spans="2:16" hidden="1" x14ac:dyDescent="0.25">
      <c r="B34" s="8" t="s">
        <v>20</v>
      </c>
      <c r="C34" s="9"/>
      <c r="D34" s="9"/>
      <c r="E34" s="9"/>
      <c r="F34" s="9"/>
      <c r="G34" s="9"/>
      <c r="H34" s="9"/>
      <c r="I34" s="9">
        <v>725</v>
      </c>
      <c r="J34" s="9">
        <v>476</v>
      </c>
      <c r="K34" s="9">
        <f>SUM(I34:J34)</f>
        <v>1201</v>
      </c>
      <c r="L34" s="9">
        <f>H34-E34</f>
        <v>0</v>
      </c>
      <c r="M34" s="10">
        <f>H34/K34</f>
        <v>0</v>
      </c>
    </row>
    <row r="35" spans="2:16" hidden="1" x14ac:dyDescent="0.25"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4"/>
    </row>
    <row r="36" spans="2:16" x14ac:dyDescent="0.25">
      <c r="B36" s="6" t="s">
        <v>25</v>
      </c>
      <c r="P36" s="18" t="s">
        <v>26</v>
      </c>
    </row>
    <row r="37" spans="2:16" x14ac:dyDescent="0.25">
      <c r="B37" s="6"/>
    </row>
    <row r="38" spans="2:16" x14ac:dyDescent="0.25">
      <c r="B38" s="19" t="s">
        <v>65</v>
      </c>
    </row>
    <row r="39" spans="2:16" x14ac:dyDescent="0.25">
      <c r="B39" s="44" t="s">
        <v>28</v>
      </c>
      <c r="C39" s="45" t="s">
        <v>16</v>
      </c>
      <c r="D39" s="45"/>
      <c r="E39" s="45"/>
      <c r="F39" s="45"/>
      <c r="G39" s="45"/>
    </row>
    <row r="40" spans="2:16" x14ac:dyDescent="0.25">
      <c r="B40" s="44"/>
      <c r="C40" s="20" t="s">
        <v>29</v>
      </c>
      <c r="D40" s="20" t="s">
        <v>30</v>
      </c>
      <c r="E40" s="20" t="s">
        <v>31</v>
      </c>
      <c r="F40" s="20" t="s">
        <v>32</v>
      </c>
      <c r="G40" s="20" t="s">
        <v>33</v>
      </c>
    </row>
    <row r="41" spans="2:16" x14ac:dyDescent="0.25">
      <c r="B41" s="21" t="s">
        <v>34</v>
      </c>
      <c r="C41" s="22">
        <f>$K$17</f>
        <v>3000</v>
      </c>
      <c r="D41" s="22">
        <f>$H$17</f>
        <v>3626</v>
      </c>
      <c r="E41" s="22">
        <v>2072</v>
      </c>
      <c r="F41" s="23">
        <f t="shared" ref="F41:F46" si="0">E41/C41</f>
        <v>0.69066666666666665</v>
      </c>
      <c r="G41" s="23">
        <f>E41/D41</f>
        <v>0.5714285714285714</v>
      </c>
    </row>
    <row r="42" spans="2:16" x14ac:dyDescent="0.25">
      <c r="B42" s="21" t="s">
        <v>35</v>
      </c>
      <c r="C42" s="22">
        <f t="shared" ref="C42:C45" si="1">$K$17</f>
        <v>3000</v>
      </c>
      <c r="D42" s="22">
        <f t="shared" ref="D42:D45" si="2">$H$17</f>
        <v>3626</v>
      </c>
      <c r="E42" s="22">
        <v>1843</v>
      </c>
      <c r="F42" s="23">
        <f t="shared" si="0"/>
        <v>0.61433333333333329</v>
      </c>
      <c r="G42" s="23">
        <f t="shared" ref="G42:G46" si="3">E42/D42</f>
        <v>0.50827357970215115</v>
      </c>
    </row>
    <row r="43" spans="2:16" x14ac:dyDescent="0.25">
      <c r="B43" s="21" t="s">
        <v>36</v>
      </c>
      <c r="C43" s="22">
        <f t="shared" si="1"/>
        <v>3000</v>
      </c>
      <c r="D43" s="22">
        <f t="shared" si="2"/>
        <v>3626</v>
      </c>
      <c r="E43" s="22">
        <v>2246</v>
      </c>
      <c r="F43" s="23">
        <f t="shared" si="0"/>
        <v>0.7486666666666667</v>
      </c>
      <c r="G43" s="23">
        <f t="shared" si="3"/>
        <v>0.61941533370104795</v>
      </c>
    </row>
    <row r="44" spans="2:16" x14ac:dyDescent="0.25">
      <c r="B44" s="21" t="s">
        <v>37</v>
      </c>
      <c r="C44" s="22">
        <f t="shared" si="1"/>
        <v>3000</v>
      </c>
      <c r="D44" s="22">
        <f t="shared" si="2"/>
        <v>3626</v>
      </c>
      <c r="E44" s="22">
        <v>2328</v>
      </c>
      <c r="F44" s="23">
        <f t="shared" si="0"/>
        <v>0.77600000000000002</v>
      </c>
      <c r="G44" s="23">
        <f t="shared" si="3"/>
        <v>0.64202978488692775</v>
      </c>
    </row>
    <row r="45" spans="2:16" x14ac:dyDescent="0.25">
      <c r="B45" s="21" t="s">
        <v>38</v>
      </c>
      <c r="C45" s="22">
        <f t="shared" si="1"/>
        <v>3000</v>
      </c>
      <c r="D45" s="22">
        <f t="shared" si="2"/>
        <v>3626</v>
      </c>
      <c r="E45" s="22">
        <v>2083</v>
      </c>
      <c r="F45" s="23">
        <f t="shared" si="0"/>
        <v>0.69433333333333336</v>
      </c>
      <c r="G45" s="23">
        <f t="shared" si="3"/>
        <v>0.5744622173193602</v>
      </c>
    </row>
    <row r="46" spans="2:16" x14ac:dyDescent="0.25">
      <c r="B46" s="24" t="s">
        <v>39</v>
      </c>
      <c r="C46" s="25">
        <f>AVERAGE(C41:C43)</f>
        <v>3000</v>
      </c>
      <c r="D46" s="25">
        <f>AVERAGE(D41:D43)</f>
        <v>3626</v>
      </c>
      <c r="E46" s="26">
        <f>AVERAGE(E41:E43,E44,E45)</f>
        <v>2114.4</v>
      </c>
      <c r="F46" s="27">
        <f t="shared" si="0"/>
        <v>0.70479999999999998</v>
      </c>
      <c r="G46" s="28">
        <f t="shared" si="3"/>
        <v>0.58312189740761167</v>
      </c>
    </row>
    <row r="48" spans="2:16" x14ac:dyDescent="0.25">
      <c r="B48" s="19" t="s">
        <v>66</v>
      </c>
    </row>
    <row r="49" spans="2:7" x14ac:dyDescent="0.25">
      <c r="B49" s="44" t="s">
        <v>28</v>
      </c>
      <c r="C49" s="45" t="s">
        <v>16</v>
      </c>
      <c r="D49" s="45"/>
      <c r="E49" s="45"/>
      <c r="F49" s="45"/>
      <c r="G49" s="45"/>
    </row>
    <row r="50" spans="2:7" x14ac:dyDescent="0.25">
      <c r="B50" s="44"/>
      <c r="C50" s="20" t="s">
        <v>29</v>
      </c>
      <c r="D50" s="20" t="s">
        <v>30</v>
      </c>
      <c r="E50" s="20" t="s">
        <v>31</v>
      </c>
      <c r="F50" s="20" t="s">
        <v>32</v>
      </c>
      <c r="G50" s="20" t="s">
        <v>33</v>
      </c>
    </row>
    <row r="51" spans="2:7" x14ac:dyDescent="0.25">
      <c r="B51" s="21" t="s">
        <v>34</v>
      </c>
      <c r="C51" s="22">
        <f>$J$17</f>
        <v>0</v>
      </c>
      <c r="D51" s="22">
        <v>861</v>
      </c>
      <c r="E51" s="22">
        <v>0</v>
      </c>
      <c r="F51" s="23" t="e">
        <f t="shared" ref="F51:F56" si="4">E51/C51</f>
        <v>#DIV/0!</v>
      </c>
      <c r="G51" s="23">
        <f>E51/D51</f>
        <v>0</v>
      </c>
    </row>
    <row r="52" spans="2:7" x14ac:dyDescent="0.25">
      <c r="B52" s="21" t="s">
        <v>35</v>
      </c>
      <c r="C52" s="22">
        <f t="shared" ref="C52:C55" si="5">$J$17</f>
        <v>0</v>
      </c>
      <c r="D52" s="22">
        <v>861</v>
      </c>
      <c r="E52" s="22">
        <v>0</v>
      </c>
      <c r="F52" s="23" t="e">
        <f t="shared" si="4"/>
        <v>#DIV/0!</v>
      </c>
      <c r="G52" s="23">
        <f t="shared" ref="G52:G56" si="6">E52/D52</f>
        <v>0</v>
      </c>
    </row>
    <row r="53" spans="2:7" x14ac:dyDescent="0.25">
      <c r="B53" s="21" t="s">
        <v>36</v>
      </c>
      <c r="C53" s="22">
        <f t="shared" si="5"/>
        <v>0</v>
      </c>
      <c r="D53" s="22">
        <v>861</v>
      </c>
      <c r="E53" s="22">
        <v>0</v>
      </c>
      <c r="F53" s="23" t="e">
        <f t="shared" si="4"/>
        <v>#DIV/0!</v>
      </c>
      <c r="G53" s="23">
        <f t="shared" si="6"/>
        <v>0</v>
      </c>
    </row>
    <row r="54" spans="2:7" x14ac:dyDescent="0.25">
      <c r="B54" s="21" t="s">
        <v>37</v>
      </c>
      <c r="C54" s="22">
        <f t="shared" si="5"/>
        <v>0</v>
      </c>
      <c r="D54" s="22">
        <v>861</v>
      </c>
      <c r="E54" s="22">
        <v>0</v>
      </c>
      <c r="F54" s="23" t="e">
        <f t="shared" si="4"/>
        <v>#DIV/0!</v>
      </c>
      <c r="G54" s="23">
        <f t="shared" si="6"/>
        <v>0</v>
      </c>
    </row>
    <row r="55" spans="2:7" x14ac:dyDescent="0.25">
      <c r="B55" s="21" t="s">
        <v>38</v>
      </c>
      <c r="C55" s="22">
        <f t="shared" si="5"/>
        <v>0</v>
      </c>
      <c r="D55" s="22">
        <v>861</v>
      </c>
      <c r="E55" s="22">
        <v>0</v>
      </c>
      <c r="F55" s="23" t="e">
        <f t="shared" si="4"/>
        <v>#DIV/0!</v>
      </c>
      <c r="G55" s="23">
        <f t="shared" si="6"/>
        <v>0</v>
      </c>
    </row>
    <row r="56" spans="2:7" x14ac:dyDescent="0.25">
      <c r="B56" s="24" t="s">
        <v>39</v>
      </c>
      <c r="C56" s="25">
        <f t="shared" ref="C56" si="7">AVERAGE(C51:C54)</f>
        <v>0</v>
      </c>
      <c r="D56" s="25">
        <v>861</v>
      </c>
      <c r="E56" s="26">
        <f t="shared" ref="E56" si="8">AVERAGE(E51:E54)</f>
        <v>0</v>
      </c>
      <c r="F56" s="27" t="e">
        <f t="shared" si="4"/>
        <v>#DIV/0!</v>
      </c>
      <c r="G56" s="28">
        <f t="shared" si="6"/>
        <v>0</v>
      </c>
    </row>
    <row r="58" spans="2:7" x14ac:dyDescent="0.25">
      <c r="B58" s="19" t="s">
        <v>67</v>
      </c>
    </row>
    <row r="59" spans="2:7" x14ac:dyDescent="0.25">
      <c r="B59" s="44" t="s">
        <v>28</v>
      </c>
      <c r="C59" s="45" t="s">
        <v>16</v>
      </c>
      <c r="D59" s="45"/>
      <c r="E59" s="45"/>
      <c r="F59" s="45"/>
      <c r="G59" s="45"/>
    </row>
    <row r="60" spans="2:7" x14ac:dyDescent="0.25">
      <c r="B60" s="44"/>
      <c r="C60" s="20" t="s">
        <v>29</v>
      </c>
      <c r="D60" s="20" t="s">
        <v>30</v>
      </c>
      <c r="E60" s="20" t="s">
        <v>31</v>
      </c>
      <c r="F60" s="20" t="s">
        <v>32</v>
      </c>
      <c r="G60" s="20" t="s">
        <v>33</v>
      </c>
    </row>
    <row r="61" spans="2:7" x14ac:dyDescent="0.25">
      <c r="B61" s="21" t="s">
        <v>34</v>
      </c>
      <c r="C61" s="22">
        <f>$I$17</f>
        <v>3000</v>
      </c>
      <c r="D61" s="22">
        <v>2765</v>
      </c>
      <c r="E61" s="22">
        <v>2072</v>
      </c>
      <c r="F61" s="23">
        <f t="shared" ref="F61:F66" si="9">E61/C61</f>
        <v>0.69066666666666665</v>
      </c>
      <c r="G61" s="23">
        <f>E61/D61</f>
        <v>0.74936708860759493</v>
      </c>
    </row>
    <row r="62" spans="2:7" x14ac:dyDescent="0.25">
      <c r="B62" s="21" t="s">
        <v>35</v>
      </c>
      <c r="C62" s="22">
        <f t="shared" ref="C62:C65" si="10">$I$17</f>
        <v>3000</v>
      </c>
      <c r="D62" s="22">
        <v>2765</v>
      </c>
      <c r="E62" s="22">
        <v>1843</v>
      </c>
      <c r="F62" s="23">
        <f t="shared" si="9"/>
        <v>0.61433333333333329</v>
      </c>
      <c r="G62" s="23">
        <f t="shared" ref="G62:G66" si="11">E62/D62</f>
        <v>0.66654611211573234</v>
      </c>
    </row>
    <row r="63" spans="2:7" x14ac:dyDescent="0.25">
      <c r="B63" s="21" t="s">
        <v>36</v>
      </c>
      <c r="C63" s="22">
        <f t="shared" si="10"/>
        <v>3000</v>
      </c>
      <c r="D63" s="22">
        <v>2765</v>
      </c>
      <c r="E63" s="22">
        <v>2246</v>
      </c>
      <c r="F63" s="23">
        <f t="shared" si="9"/>
        <v>0.7486666666666667</v>
      </c>
      <c r="G63" s="23">
        <f t="shared" si="11"/>
        <v>0.81229656419529839</v>
      </c>
    </row>
    <row r="64" spans="2:7" x14ac:dyDescent="0.25">
      <c r="B64" s="21" t="s">
        <v>37</v>
      </c>
      <c r="C64" s="22">
        <f t="shared" si="10"/>
        <v>3000</v>
      </c>
      <c r="D64" s="22">
        <v>2765</v>
      </c>
      <c r="E64" s="22">
        <v>2328</v>
      </c>
      <c r="F64" s="23">
        <f t="shared" si="9"/>
        <v>0.77600000000000002</v>
      </c>
      <c r="G64" s="23">
        <f t="shared" si="11"/>
        <v>0.84195298372513561</v>
      </c>
    </row>
    <row r="65" spans="2:7" x14ac:dyDescent="0.25">
      <c r="B65" s="21" t="s">
        <v>38</v>
      </c>
      <c r="C65" s="22">
        <f t="shared" si="10"/>
        <v>3000</v>
      </c>
      <c r="D65" s="22">
        <v>2765</v>
      </c>
      <c r="E65" s="22">
        <v>2083</v>
      </c>
      <c r="F65" s="23">
        <f t="shared" si="9"/>
        <v>0.69433333333333336</v>
      </c>
      <c r="G65" s="23">
        <f t="shared" si="11"/>
        <v>0.75334538878842672</v>
      </c>
    </row>
    <row r="66" spans="2:7" x14ac:dyDescent="0.25">
      <c r="B66" s="24" t="s">
        <v>39</v>
      </c>
      <c r="C66" s="25">
        <f>AVERAGE(C61:C64)</f>
        <v>3000</v>
      </c>
      <c r="D66" s="25">
        <f>AVERAGE(D61:D64)</f>
        <v>2765</v>
      </c>
      <c r="E66" s="26">
        <f>AVERAGE(E61:E64,E65)</f>
        <v>2114.4</v>
      </c>
      <c r="F66" s="27">
        <f t="shared" si="9"/>
        <v>0.70479999999999998</v>
      </c>
      <c r="G66" s="28">
        <f t="shared" si="11"/>
        <v>0.76470162748643766</v>
      </c>
    </row>
  </sheetData>
  <mergeCells count="39">
    <mergeCell ref="C12:E12"/>
    <mergeCell ref="F12:H12"/>
    <mergeCell ref="I12:K12"/>
    <mergeCell ref="C13:E13"/>
    <mergeCell ref="F13:H13"/>
    <mergeCell ref="I13:K13"/>
    <mergeCell ref="O13:O20"/>
    <mergeCell ref="C15:E15"/>
    <mergeCell ref="F15:H15"/>
    <mergeCell ref="I15:K15"/>
    <mergeCell ref="L15:L16"/>
    <mergeCell ref="M15:M16"/>
    <mergeCell ref="C19:E19"/>
    <mergeCell ref="F19:H19"/>
    <mergeCell ref="I19:K19"/>
    <mergeCell ref="C20:E20"/>
    <mergeCell ref="F20:H20"/>
    <mergeCell ref="I20:K20"/>
    <mergeCell ref="C24:E24"/>
    <mergeCell ref="F24:H24"/>
    <mergeCell ref="I24:K24"/>
    <mergeCell ref="M24:M25"/>
    <mergeCell ref="C28:E28"/>
    <mergeCell ref="F28:H28"/>
    <mergeCell ref="I28:K28"/>
    <mergeCell ref="L28:L29"/>
    <mergeCell ref="M28:M29"/>
    <mergeCell ref="L24:L25"/>
    <mergeCell ref="I32:K32"/>
    <mergeCell ref="L32:L33"/>
    <mergeCell ref="M32:M33"/>
    <mergeCell ref="B39:B40"/>
    <mergeCell ref="C39:G39"/>
    <mergeCell ref="B49:B50"/>
    <mergeCell ref="C49:G49"/>
    <mergeCell ref="B59:B60"/>
    <mergeCell ref="C59:G59"/>
    <mergeCell ref="C32:E32"/>
    <mergeCell ref="F32:H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Mangrove</vt:lpstr>
      <vt:lpstr>Seaweed</vt:lpstr>
      <vt:lpstr>Forest</vt:lpstr>
      <vt:lpstr>GJJ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2026-02-28T13:00:05Z</dcterms:created>
  <dcterms:modified xsi:type="dcterms:W3CDTF">2026-03-05T11:26:15Z</dcterms:modified>
</cp:coreProperties>
</file>