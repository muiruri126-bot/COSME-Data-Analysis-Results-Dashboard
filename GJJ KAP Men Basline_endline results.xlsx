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uiruri.PLANKE-KILIFI\Desktop\Benard\My Project\My work\"/>
    </mc:Choice>
  </mc:AlternateContent>
  <xr:revisionPtr revIDLastSave="0" documentId="8_{82131193-48AC-41CC-95E1-C96B9749FC4F}" xr6:coauthVersionLast="47" xr6:coauthVersionMax="47" xr10:uidLastSave="{00000000-0000-0000-0000-000000000000}"/>
  <bookViews>
    <workbookView xWindow="-110" yWindow="-110" windowWidth="19420" windowHeight="10300" xr2:uid="{AED9F2E4-75C4-4EF1-ACE4-E699259CE9F3}"/>
  </bookViews>
  <sheets>
    <sheet name="Results KAP Men Endl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0" i="1" l="1"/>
  <c r="E70" i="1"/>
  <c r="D70" i="1"/>
  <c r="C70" i="1"/>
  <c r="F69" i="1"/>
  <c r="E69" i="1"/>
  <c r="D69" i="1"/>
  <c r="C69" i="1"/>
  <c r="F68" i="1"/>
  <c r="E68" i="1"/>
  <c r="D68" i="1"/>
  <c r="C68" i="1"/>
  <c r="F67" i="1"/>
  <c r="E67" i="1"/>
  <c r="D67" i="1"/>
  <c r="C67" i="1"/>
  <c r="F66" i="1"/>
  <c r="E66" i="1"/>
  <c r="D66" i="1"/>
  <c r="C66" i="1"/>
  <c r="F65" i="1"/>
  <c r="E65" i="1"/>
  <c r="D65" i="1"/>
  <c r="C65" i="1"/>
  <c r="F64" i="1"/>
  <c r="E64" i="1"/>
  <c r="D64" i="1"/>
  <c r="C64" i="1"/>
  <c r="F26" i="1"/>
  <c r="E26" i="1"/>
  <c r="D26" i="1"/>
  <c r="C26" i="1"/>
  <c r="F25" i="1"/>
  <c r="E25" i="1"/>
  <c r="D25" i="1"/>
  <c r="C25" i="1"/>
  <c r="F24" i="1"/>
  <c r="E24" i="1"/>
  <c r="D24" i="1"/>
  <c r="C24" i="1"/>
</calcChain>
</file>

<file path=xl/sharedStrings.xml><?xml version="1.0" encoding="utf-8"?>
<sst xmlns="http://schemas.openxmlformats.org/spreadsheetml/2006/main" count="149" uniqueCount="62">
  <si>
    <t>GJJ KAP Survey - Men</t>
  </si>
  <si>
    <t>SELF</t>
  </si>
  <si>
    <t>Percentage of Men by level of agreement with  SELF Statements</t>
  </si>
  <si>
    <t>Baseline</t>
  </si>
  <si>
    <t>Strongly agree</t>
  </si>
  <si>
    <t>Agree</t>
  </si>
  <si>
    <t>Disagree</t>
  </si>
  <si>
    <t>Strongly disagree</t>
  </si>
  <si>
    <t xml:space="preserve">I take responsibility for my feelings, emotions, thoughts, and actions. I do not give others credit or blame for how I feel, think, or what I do. </t>
  </si>
  <si>
    <t xml:space="preserve">I learn and grow from my mistakes rather than deny them or use them to confirm my unworthiness. </t>
  </si>
  <si>
    <t>I see myself as an equal to those of the opposite gender, and I try to show this through my words and actions.</t>
  </si>
  <si>
    <t>Endline</t>
  </si>
  <si>
    <t>Agreement</t>
  </si>
  <si>
    <t>Disagreement</t>
  </si>
  <si>
    <t>Percentage of Men by frequency of ocurrance related to "I nurture myself with kind, supportive selftalk and selfcompassion"</t>
  </si>
  <si>
    <t>Frequently</t>
  </si>
  <si>
    <t>Sometimes</t>
  </si>
  <si>
    <t>Rarely</t>
  </si>
  <si>
    <t>Never</t>
  </si>
  <si>
    <t>RELATIONAL</t>
  </si>
  <si>
    <t>Percentage of Men by frequency of ocurrance  of RELATIONAL circumstances</t>
  </si>
  <si>
    <t>Always</t>
  </si>
  <si>
    <t>In a normal week, how often do you laugh with your wife/partner?</t>
  </si>
  <si>
    <t>I feel respected by my husband/partner.</t>
  </si>
  <si>
    <t xml:space="preserve">I check with my wife to see that she feels safe and comfortable in telling me her real feelings and opinions. </t>
  </si>
  <si>
    <t xml:space="preserve">When my partner and I disagree, the conflict usually escalates. </t>
  </si>
  <si>
    <t>My wife/partner and I talk about our emotions.</t>
  </si>
  <si>
    <t xml:space="preserve">I accept when my wife/partner tells me “No” or “not now”, I do not feel personally offended or hurt. </t>
  </si>
  <si>
    <t>My partner and I discuss how to share responsibility so that we can work together to meet our personal and family responsibilities and goals.</t>
  </si>
  <si>
    <t>Always / Frequently</t>
  </si>
  <si>
    <t>Rarely / Never</t>
  </si>
  <si>
    <t xml:space="preserve">Percentage of Men that are supported and encouraged to grow on their Gender Justice Journey </t>
  </si>
  <si>
    <t>Shared Responsibility</t>
  </si>
  <si>
    <t>Percentage of Men that normally support household chores that are traditionally done by women</t>
  </si>
  <si>
    <t>No</t>
  </si>
  <si>
    <t>Yes</t>
  </si>
  <si>
    <t>Time since husbands have been suporting with household chores</t>
  </si>
  <si>
    <t>&lt; 1 month</t>
  </si>
  <si>
    <t>1 month</t>
  </si>
  <si>
    <t>1 year</t>
  </si>
  <si>
    <t>2-6 months</t>
  </si>
  <si>
    <t>7-11 months</t>
  </si>
  <si>
    <t>He has always done this</t>
  </si>
  <si>
    <t xml:space="preserve">More than one year </t>
  </si>
  <si>
    <t>Frequency husbands carries out  household chores</t>
  </si>
  <si>
    <t>Always (Every day)</t>
  </si>
  <si>
    <t>Often (several days a week)</t>
  </si>
  <si>
    <t>Rarely (several times a year)</t>
  </si>
  <si>
    <t>Sometimes (several times a month)</t>
  </si>
  <si>
    <t>Percentage of Men that in the past week have discussed with their wife how to share unpaid household chores and care work</t>
  </si>
  <si>
    <t xml:space="preserve">Percentage of Men that encourage and help their wife/partner to make time for themselves </t>
  </si>
  <si>
    <t>Shared Power</t>
  </si>
  <si>
    <t>Percentage of households that have had conversations in the past 6 months to change the way decisions are made on important household matters</t>
  </si>
  <si>
    <t xml:space="preserve">Percentage of households that have made important decisions in the past six months    </t>
  </si>
  <si>
    <t>Percentage of Men that would support their wife if they wanted to become community leader</t>
  </si>
  <si>
    <t xml:space="preserve">Always </t>
  </si>
  <si>
    <t>NA</t>
  </si>
  <si>
    <t xml:space="preserve">Percentage of Men that would support their wives if they started  or grew their own business   </t>
  </si>
  <si>
    <t xml:space="preserve">Definitely </t>
  </si>
  <si>
    <t xml:space="preserve">Possibly </t>
  </si>
  <si>
    <t>Probably</t>
  </si>
  <si>
    <t>Very Probably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</si>
</sst>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4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164" fontId="0" fillId="0" borderId="4" xfId="0" applyNumberFormat="1" applyBorder="1" applyAlignment="1">
      <alignment horizontal="center" vertical="center"/>
    </xf>
    <xf numFmtId="10" fontId="0" fillId="0" borderId="0" xfId="0" applyNumberFormat="1"/>
    <xf numFmtId="0" fontId="1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4" fontId="0" fillId="0" borderId="4" xfId="0" applyNumberFormat="1" applyBorder="1"/>
    <xf numFmtId="0" fontId="0" fillId="0" borderId="0" xfId="0" applyAlignment="1">
      <alignment wrapText="1"/>
    </xf>
    <xf numFmtId="164" fontId="0" fillId="0" borderId="0" xfId="0" applyNumberFormat="1" applyAlignment="1">
      <alignment horizontal="center" vertical="center"/>
    </xf>
    <xf numFmtId="0" fontId="0" fillId="0" borderId="4" xfId="0" applyBorder="1"/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B35A8-07D4-4729-8337-4F370ECE9F93}">
  <sheetPr>
    <tabColor rgb="FF7030A0"/>
  </sheetPr>
  <dimension ref="B2:I148"/>
  <sheetViews>
    <sheetView showGridLines="0" tabSelected="1" zoomScale="75" workbookViewId="0">
      <selection activeCell="B15" sqref="B15"/>
    </sheetView>
  </sheetViews>
  <sheetFormatPr defaultRowHeight="15" x14ac:dyDescent="0.25"/>
  <cols>
    <col min="1" max="1" width="4.85546875" customWidth="1"/>
    <col min="2" max="2" width="104.7109375" customWidth="1"/>
    <col min="3" max="6" width="12.140625" customWidth="1"/>
    <col min="7" max="7" width="11.5703125" customWidth="1"/>
    <col min="8" max="8" width="13" customWidth="1"/>
    <col min="9" max="9" width="15" customWidth="1"/>
  </cols>
  <sheetData>
    <row r="2" spans="2:9" ht="23.25" x14ac:dyDescent="0.35">
      <c r="B2" s="1" t="s">
        <v>0</v>
      </c>
    </row>
    <row r="5" spans="2:9" ht="18.75" x14ac:dyDescent="0.3">
      <c r="B5" s="2" t="s">
        <v>1</v>
      </c>
      <c r="C5" s="3"/>
      <c r="D5" s="3"/>
      <c r="E5" s="3"/>
      <c r="F5" s="3"/>
      <c r="G5" s="3"/>
      <c r="H5" s="3"/>
      <c r="I5" s="4"/>
    </row>
    <row r="7" spans="2:9" x14ac:dyDescent="0.25">
      <c r="B7" s="5" t="s">
        <v>2</v>
      </c>
    </row>
    <row r="8" spans="2:9" x14ac:dyDescent="0.25">
      <c r="B8" s="5"/>
      <c r="C8" s="6" t="s">
        <v>3</v>
      </c>
      <c r="D8" s="6"/>
      <c r="E8" s="6"/>
      <c r="F8" s="6"/>
    </row>
    <row r="9" spans="2:9" ht="29.25" customHeight="1" x14ac:dyDescent="0.25">
      <c r="C9" s="7" t="s">
        <v>4</v>
      </c>
      <c r="D9" s="7" t="s">
        <v>5</v>
      </c>
      <c r="E9" s="7" t="s">
        <v>6</v>
      </c>
      <c r="F9" s="7" t="s">
        <v>7</v>
      </c>
    </row>
    <row r="10" spans="2:9" ht="30" x14ac:dyDescent="0.25">
      <c r="B10" s="8" t="s">
        <v>8</v>
      </c>
      <c r="C10" s="9">
        <v>0.50769230769230766</v>
      </c>
      <c r="D10" s="9">
        <v>0.44615384615384601</v>
      </c>
      <c r="E10" s="9">
        <v>3.8461538461538464E-2</v>
      </c>
      <c r="F10" s="9">
        <v>7.6923076923076927E-3</v>
      </c>
    </row>
    <row r="11" spans="2:9" x14ac:dyDescent="0.25">
      <c r="B11" s="8" t="s">
        <v>9</v>
      </c>
      <c r="C11" s="9">
        <v>0.47692307692307695</v>
      </c>
      <c r="D11" s="9">
        <v>0.5</v>
      </c>
      <c r="E11" s="9">
        <v>2.3076923076923078E-2</v>
      </c>
      <c r="F11" s="9">
        <v>0</v>
      </c>
    </row>
    <row r="12" spans="2:9" x14ac:dyDescent="0.25">
      <c r="B12" s="8" t="s">
        <v>10</v>
      </c>
      <c r="C12" s="9">
        <v>0.44615384615384618</v>
      </c>
      <c r="D12" s="9">
        <v>0.43846153846153846</v>
      </c>
      <c r="E12" s="9">
        <v>8.461538461538462E-2</v>
      </c>
      <c r="F12" s="9">
        <v>3.0769230769230771E-2</v>
      </c>
    </row>
    <row r="13" spans="2:9" x14ac:dyDescent="0.25">
      <c r="C13" s="10"/>
      <c r="E13" s="10"/>
    </row>
    <row r="14" spans="2:9" x14ac:dyDescent="0.25">
      <c r="B14" s="5" t="s">
        <v>2</v>
      </c>
    </row>
    <row r="15" spans="2:9" x14ac:dyDescent="0.25">
      <c r="B15" s="5"/>
      <c r="C15" s="6" t="s">
        <v>11</v>
      </c>
      <c r="D15" s="6"/>
      <c r="E15" s="6"/>
      <c r="F15" s="6"/>
    </row>
    <row r="16" spans="2:9" ht="29.25" customHeight="1" x14ac:dyDescent="0.25">
      <c r="C16" s="7" t="s">
        <v>4</v>
      </c>
      <c r="D16" s="7" t="s">
        <v>5</v>
      </c>
      <c r="E16" s="7" t="s">
        <v>6</v>
      </c>
      <c r="F16" s="7" t="s">
        <v>7</v>
      </c>
    </row>
    <row r="17" spans="2:9" ht="30" x14ac:dyDescent="0.25">
      <c r="B17" s="8" t="s">
        <v>8</v>
      </c>
      <c r="C17" s="9">
        <v>0.70270270270270274</v>
      </c>
      <c r="D17" s="9">
        <v>0.26126126126126126</v>
      </c>
      <c r="E17" s="9">
        <v>1.8018018018018018E-2</v>
      </c>
      <c r="F17" s="9">
        <v>1.8018018018018018E-2</v>
      </c>
    </row>
    <row r="18" spans="2:9" x14ac:dyDescent="0.25">
      <c r="B18" s="8" t="s">
        <v>9</v>
      </c>
      <c r="C18" s="9">
        <v>0.71171171171171166</v>
      </c>
      <c r="D18" s="9">
        <v>0.27027027027027029</v>
      </c>
      <c r="E18" s="9">
        <v>1.8018018018018018E-2</v>
      </c>
      <c r="F18" s="9">
        <v>0</v>
      </c>
    </row>
    <row r="19" spans="2:9" x14ac:dyDescent="0.25">
      <c r="B19" s="8" t="s">
        <v>10</v>
      </c>
      <c r="C19" s="9">
        <v>0.61261261261261257</v>
      </c>
      <c r="D19" s="9">
        <v>0.34234234234234234</v>
      </c>
      <c r="E19" s="9">
        <v>4.5045045045045043E-2</v>
      </c>
      <c r="F19" s="9">
        <v>0</v>
      </c>
    </row>
    <row r="21" spans="2:9" x14ac:dyDescent="0.25">
      <c r="B21" s="5" t="s">
        <v>2</v>
      </c>
    </row>
    <row r="22" spans="2:9" x14ac:dyDescent="0.25">
      <c r="B22" s="5"/>
      <c r="C22" s="11" t="s">
        <v>12</v>
      </c>
      <c r="D22" s="11"/>
      <c r="E22" s="11" t="s">
        <v>13</v>
      </c>
      <c r="F22" s="11"/>
    </row>
    <row r="23" spans="2:9" x14ac:dyDescent="0.25">
      <c r="C23" s="12" t="s">
        <v>3</v>
      </c>
      <c r="D23" s="12" t="s">
        <v>11</v>
      </c>
      <c r="E23" s="12" t="s">
        <v>3</v>
      </c>
      <c r="F23" s="12" t="s">
        <v>11</v>
      </c>
    </row>
    <row r="24" spans="2:9" ht="30" x14ac:dyDescent="0.25">
      <c r="B24" s="8" t="s">
        <v>8</v>
      </c>
      <c r="C24" s="13">
        <f>SUM(C10:D10)</f>
        <v>0.95384615384615368</v>
      </c>
      <c r="D24" s="13">
        <f>SUM(C17:D17)</f>
        <v>0.963963963963964</v>
      </c>
      <c r="E24" s="13">
        <f>SUM(E10:F10)</f>
        <v>4.6153846153846156E-2</v>
      </c>
      <c r="F24" s="13">
        <f>SUM(E17:F17)</f>
        <v>3.6036036036036036E-2</v>
      </c>
    </row>
    <row r="25" spans="2:9" x14ac:dyDescent="0.25">
      <c r="B25" s="8" t="s">
        <v>9</v>
      </c>
      <c r="C25" s="13">
        <f t="shared" ref="C25:C26" si="0">SUM(C11:D11)</f>
        <v>0.97692307692307701</v>
      </c>
      <c r="D25" s="13">
        <f t="shared" ref="D25:D26" si="1">SUM(C18:D18)</f>
        <v>0.98198198198198194</v>
      </c>
      <c r="E25" s="13">
        <f t="shared" ref="E25:E26" si="2">SUM(E11:F11)</f>
        <v>2.3076923076923078E-2</v>
      </c>
      <c r="F25" s="13">
        <f t="shared" ref="F25:F26" si="3">SUM(E18:F18)</f>
        <v>1.8018018018018018E-2</v>
      </c>
    </row>
    <row r="26" spans="2:9" x14ac:dyDescent="0.25">
      <c r="B26" s="8" t="s">
        <v>10</v>
      </c>
      <c r="C26" s="13">
        <f t="shared" si="0"/>
        <v>0.88461538461538458</v>
      </c>
      <c r="D26" s="13">
        <f t="shared" si="1"/>
        <v>0.95495495495495497</v>
      </c>
      <c r="E26" s="13">
        <f t="shared" si="2"/>
        <v>0.11538461538461539</v>
      </c>
      <c r="F26" s="13">
        <f t="shared" si="3"/>
        <v>4.5045045045045043E-2</v>
      </c>
    </row>
    <row r="27" spans="2:9" x14ac:dyDescent="0.25">
      <c r="B27" s="14"/>
    </row>
    <row r="28" spans="2:9" x14ac:dyDescent="0.25">
      <c r="B28" s="5" t="s">
        <v>14</v>
      </c>
      <c r="C28" s="15"/>
      <c r="D28" s="15"/>
      <c r="E28" s="15"/>
      <c r="F28" s="15"/>
      <c r="H28" s="15"/>
      <c r="I28" s="15"/>
    </row>
    <row r="29" spans="2:9" x14ac:dyDescent="0.25">
      <c r="C29" s="15"/>
      <c r="D29" s="15"/>
      <c r="E29" s="15"/>
      <c r="F29" s="15"/>
      <c r="H29" s="15"/>
      <c r="I29" s="15"/>
    </row>
    <row r="30" spans="2:9" x14ac:dyDescent="0.25">
      <c r="C30" s="12" t="s">
        <v>3</v>
      </c>
      <c r="D30" s="12" t="s">
        <v>11</v>
      </c>
      <c r="E30" s="15"/>
      <c r="F30" s="15"/>
      <c r="H30" s="15"/>
      <c r="I30" s="15"/>
    </row>
    <row r="31" spans="2:9" x14ac:dyDescent="0.25">
      <c r="B31" s="16" t="s">
        <v>15</v>
      </c>
      <c r="C31" s="9">
        <v>0.61538461538461542</v>
      </c>
      <c r="D31" s="9">
        <v>0.78378378378378377</v>
      </c>
      <c r="H31" s="15"/>
      <c r="I31" s="15"/>
    </row>
    <row r="32" spans="2:9" x14ac:dyDescent="0.25">
      <c r="B32" s="16" t="s">
        <v>16</v>
      </c>
      <c r="C32" s="9">
        <v>0.33846153846153848</v>
      </c>
      <c r="D32" s="9">
        <v>0.1981981981981982</v>
      </c>
      <c r="H32" s="15"/>
      <c r="I32" s="15"/>
    </row>
    <row r="33" spans="2:9" x14ac:dyDescent="0.25">
      <c r="B33" s="16" t="s">
        <v>17</v>
      </c>
      <c r="C33" s="9">
        <v>3.0769230769230771E-2</v>
      </c>
      <c r="D33" s="9">
        <v>1.8018018018018018E-2</v>
      </c>
      <c r="H33" s="15"/>
      <c r="I33" s="15"/>
    </row>
    <row r="34" spans="2:9" x14ac:dyDescent="0.25">
      <c r="B34" s="16" t="s">
        <v>18</v>
      </c>
      <c r="C34" s="9">
        <v>1.5384615384615385E-2</v>
      </c>
      <c r="D34" s="9">
        <v>0</v>
      </c>
    </row>
    <row r="37" spans="2:9" ht="18.75" x14ac:dyDescent="0.3">
      <c r="B37" s="2" t="s">
        <v>19</v>
      </c>
      <c r="C37" s="3"/>
      <c r="D37" s="3"/>
      <c r="E37" s="3"/>
      <c r="F37" s="3"/>
      <c r="G37" s="3"/>
      <c r="H37" s="3"/>
      <c r="I37" s="4"/>
    </row>
    <row r="39" spans="2:9" x14ac:dyDescent="0.25">
      <c r="B39" s="5" t="s">
        <v>20</v>
      </c>
    </row>
    <row r="40" spans="2:9" x14ac:dyDescent="0.25">
      <c r="B40" s="5"/>
      <c r="C40" s="17" t="s">
        <v>3</v>
      </c>
      <c r="D40" s="17"/>
      <c r="E40" s="17"/>
      <c r="F40" s="17"/>
      <c r="G40" s="17"/>
    </row>
    <row r="41" spans="2:9" x14ac:dyDescent="0.25">
      <c r="C41" s="7" t="s">
        <v>21</v>
      </c>
      <c r="D41" s="7" t="s">
        <v>15</v>
      </c>
      <c r="E41" s="7" t="s">
        <v>16</v>
      </c>
      <c r="F41" s="7" t="s">
        <v>17</v>
      </c>
      <c r="G41" s="7" t="s">
        <v>18</v>
      </c>
    </row>
    <row r="42" spans="2:9" x14ac:dyDescent="0.25">
      <c r="B42" s="8" t="s">
        <v>22</v>
      </c>
      <c r="C42" s="9"/>
      <c r="D42" s="9">
        <v>0.59230769230769231</v>
      </c>
      <c r="E42" s="9">
        <v>0.33846153846153848</v>
      </c>
      <c r="F42" s="9">
        <v>4.6153846153846156E-2</v>
      </c>
      <c r="G42" s="9">
        <v>2.3076923076923078E-2</v>
      </c>
    </row>
    <row r="43" spans="2:9" x14ac:dyDescent="0.25">
      <c r="B43" s="8" t="s">
        <v>23</v>
      </c>
      <c r="C43" s="9">
        <v>0.80314960629921262</v>
      </c>
      <c r="D43" s="9">
        <v>0.11023622047244094</v>
      </c>
      <c r="E43" s="9">
        <v>6.2992125984251968E-2</v>
      </c>
      <c r="F43" s="9">
        <v>1.5748031496062992E-2</v>
      </c>
      <c r="G43" s="9">
        <v>7.874015748031496E-3</v>
      </c>
    </row>
    <row r="44" spans="2:9" x14ac:dyDescent="0.25">
      <c r="B44" s="8" t="s">
        <v>24</v>
      </c>
      <c r="C44" s="9">
        <v>0.624</v>
      </c>
      <c r="D44" s="9">
        <v>0.2</v>
      </c>
      <c r="E44" s="9">
        <v>0.13600000000000001</v>
      </c>
      <c r="F44" s="9">
        <v>0.04</v>
      </c>
      <c r="G44" s="9">
        <v>0</v>
      </c>
    </row>
    <row r="45" spans="2:9" x14ac:dyDescent="0.25">
      <c r="B45" s="8" t="s">
        <v>25</v>
      </c>
      <c r="C45" s="9">
        <v>0.17322834645669291</v>
      </c>
      <c r="D45" s="9">
        <v>6.2992125984251968E-2</v>
      </c>
      <c r="E45" s="9">
        <v>0.37007874015748032</v>
      </c>
      <c r="F45" s="9">
        <v>0.22047244094488189</v>
      </c>
      <c r="G45" s="9">
        <v>0.17322834645669291</v>
      </c>
    </row>
    <row r="46" spans="2:9" x14ac:dyDescent="0.25">
      <c r="B46" s="8" t="s">
        <v>26</v>
      </c>
      <c r="C46" s="9">
        <v>0.47199999999999998</v>
      </c>
      <c r="D46" s="9">
        <v>0.16800000000000001</v>
      </c>
      <c r="E46" s="9">
        <v>0.32</v>
      </c>
      <c r="F46" s="9">
        <v>3.2000000000000001E-2</v>
      </c>
      <c r="G46" s="9">
        <v>8.0000000000000002E-3</v>
      </c>
    </row>
    <row r="47" spans="2:9" x14ac:dyDescent="0.25">
      <c r="B47" s="8" t="s">
        <v>27</v>
      </c>
      <c r="C47" s="9">
        <v>0.40799999999999997</v>
      </c>
      <c r="D47" s="9">
        <v>0.13600000000000001</v>
      </c>
      <c r="E47" s="9">
        <v>0.40799999999999997</v>
      </c>
      <c r="F47" s="9">
        <v>0.04</v>
      </c>
      <c r="G47" s="9">
        <v>8.0000000000000002E-3</v>
      </c>
    </row>
    <row r="48" spans="2:9" ht="30" x14ac:dyDescent="0.25">
      <c r="B48" s="8" t="s">
        <v>28</v>
      </c>
      <c r="C48" s="9">
        <v>0.61417322834645671</v>
      </c>
      <c r="D48" s="9">
        <v>0.12598425196850394</v>
      </c>
      <c r="E48" s="9">
        <v>0.2125984251968504</v>
      </c>
      <c r="F48" s="9">
        <v>3.937007874015748E-2</v>
      </c>
      <c r="G48" s="9">
        <v>7.874015748031496E-3</v>
      </c>
    </row>
    <row r="49" spans="2:7" x14ac:dyDescent="0.25">
      <c r="B49" s="14"/>
      <c r="C49" s="15"/>
      <c r="D49" s="15"/>
      <c r="E49" s="15"/>
      <c r="F49" s="15"/>
      <c r="G49" s="15"/>
    </row>
    <row r="50" spans="2:7" x14ac:dyDescent="0.25">
      <c r="B50" s="5" t="s">
        <v>20</v>
      </c>
    </row>
    <row r="51" spans="2:7" x14ac:dyDescent="0.25">
      <c r="B51" s="5"/>
      <c r="C51" s="17" t="s">
        <v>11</v>
      </c>
      <c r="D51" s="17"/>
      <c r="E51" s="17"/>
      <c r="F51" s="17"/>
      <c r="G51" s="17"/>
    </row>
    <row r="52" spans="2:7" x14ac:dyDescent="0.25">
      <c r="C52" s="7" t="s">
        <v>21</v>
      </c>
      <c r="D52" s="7" t="s">
        <v>15</v>
      </c>
      <c r="E52" s="7" t="s">
        <v>16</v>
      </c>
      <c r="F52" s="7" t="s">
        <v>17</v>
      </c>
      <c r="G52" s="7" t="s">
        <v>18</v>
      </c>
    </row>
    <row r="53" spans="2:7" x14ac:dyDescent="0.25">
      <c r="B53" s="8" t="s">
        <v>22</v>
      </c>
      <c r="C53" s="9"/>
      <c r="D53" s="9">
        <v>0.83495145631067957</v>
      </c>
      <c r="E53" s="9">
        <v>0.1553398058252427</v>
      </c>
      <c r="F53" s="9">
        <v>0</v>
      </c>
      <c r="G53" s="9">
        <v>9.7087378640776691E-3</v>
      </c>
    </row>
    <row r="54" spans="2:7" x14ac:dyDescent="0.25">
      <c r="B54" s="8" t="s">
        <v>23</v>
      </c>
      <c r="C54" s="9">
        <v>0.83495145631067957</v>
      </c>
      <c r="D54" s="9">
        <v>0.11650485436893204</v>
      </c>
      <c r="E54" s="9">
        <v>3.8834951456310676E-2</v>
      </c>
      <c r="F54" s="9">
        <v>0</v>
      </c>
      <c r="G54" s="9">
        <v>9.7087378640776691E-3</v>
      </c>
    </row>
    <row r="55" spans="2:7" x14ac:dyDescent="0.25">
      <c r="B55" s="8" t="s">
        <v>24</v>
      </c>
      <c r="C55" s="9">
        <v>0.74257425742574257</v>
      </c>
      <c r="D55" s="9">
        <v>0.17821782178217821</v>
      </c>
      <c r="E55" s="9">
        <v>7.9207920792079209E-2</v>
      </c>
      <c r="F55" s="9">
        <v>0</v>
      </c>
      <c r="G55" s="9">
        <v>0</v>
      </c>
    </row>
    <row r="56" spans="2:7" x14ac:dyDescent="0.25">
      <c r="B56" s="8" t="s">
        <v>25</v>
      </c>
      <c r="C56" s="9">
        <v>0.1650485436893204</v>
      </c>
      <c r="D56" s="9">
        <v>3.8834951456310676E-2</v>
      </c>
      <c r="E56" s="9">
        <v>0.20388349514563106</v>
      </c>
      <c r="F56" s="9">
        <v>0.34951456310679613</v>
      </c>
      <c r="G56" s="9">
        <v>0.24271844660194175</v>
      </c>
    </row>
    <row r="57" spans="2:7" x14ac:dyDescent="0.25">
      <c r="B57" s="8" t="s">
        <v>26</v>
      </c>
      <c r="C57" s="9">
        <v>0.53398058252427183</v>
      </c>
      <c r="D57" s="9">
        <v>0.32038834951456313</v>
      </c>
      <c r="E57" s="9">
        <v>0.12621359223300971</v>
      </c>
      <c r="F57" s="9">
        <v>1.9417475728155338E-2</v>
      </c>
      <c r="G57" s="9">
        <v>0</v>
      </c>
    </row>
    <row r="58" spans="2:7" x14ac:dyDescent="0.25">
      <c r="B58" s="8" t="s">
        <v>27</v>
      </c>
      <c r="C58" s="9">
        <v>0.60194174757281549</v>
      </c>
      <c r="D58" s="9">
        <v>0.21359223300970873</v>
      </c>
      <c r="E58" s="9">
        <v>0.12621359223300971</v>
      </c>
      <c r="F58" s="9">
        <v>2.9126213592233011E-2</v>
      </c>
      <c r="G58" s="9">
        <v>2.9126213592233011E-2</v>
      </c>
    </row>
    <row r="59" spans="2:7" ht="30" x14ac:dyDescent="0.25">
      <c r="B59" s="8" t="s">
        <v>28</v>
      </c>
      <c r="C59" s="9">
        <v>0.71844660194174759</v>
      </c>
      <c r="D59" s="9">
        <v>0.23300970873786409</v>
      </c>
      <c r="E59" s="9">
        <v>4.8543689320388349E-2</v>
      </c>
      <c r="F59" s="9">
        <v>0</v>
      </c>
      <c r="G59" s="9">
        <v>0</v>
      </c>
    </row>
    <row r="60" spans="2:7" x14ac:dyDescent="0.25">
      <c r="B60" s="14"/>
      <c r="C60" s="15"/>
      <c r="D60" s="15"/>
      <c r="E60" s="15"/>
      <c r="F60" s="15"/>
      <c r="G60" s="15"/>
    </row>
    <row r="61" spans="2:7" x14ac:dyDescent="0.25">
      <c r="B61" s="5" t="s">
        <v>20</v>
      </c>
    </row>
    <row r="62" spans="2:7" x14ac:dyDescent="0.25">
      <c r="B62" s="5"/>
      <c r="C62" s="11" t="s">
        <v>29</v>
      </c>
      <c r="D62" s="11"/>
      <c r="E62" s="11" t="s">
        <v>30</v>
      </c>
      <c r="F62" s="11"/>
    </row>
    <row r="63" spans="2:7" x14ac:dyDescent="0.25">
      <c r="C63" s="12" t="s">
        <v>3</v>
      </c>
      <c r="D63" s="12" t="s">
        <v>11</v>
      </c>
      <c r="E63" s="12" t="s">
        <v>3</v>
      </c>
      <c r="F63" s="12" t="s">
        <v>11</v>
      </c>
    </row>
    <row r="64" spans="2:7" x14ac:dyDescent="0.25">
      <c r="B64" s="8" t="s">
        <v>22</v>
      </c>
      <c r="C64" s="9">
        <f>SUM(C42:D42)</f>
        <v>0.59230769230769231</v>
      </c>
      <c r="D64" s="9">
        <f>SUM(C53:D53)</f>
        <v>0.83495145631067957</v>
      </c>
      <c r="E64" s="9">
        <f>SUM(F42:G42)</f>
        <v>6.9230769230769235E-2</v>
      </c>
      <c r="F64" s="9">
        <f>SUM(F53:G53)</f>
        <v>9.7087378640776691E-3</v>
      </c>
    </row>
    <row r="65" spans="2:9" x14ac:dyDescent="0.25">
      <c r="B65" s="8" t="s">
        <v>23</v>
      </c>
      <c r="C65" s="9">
        <f t="shared" ref="C65:C70" si="4">SUM(C43:D43)</f>
        <v>0.91338582677165359</v>
      </c>
      <c r="D65" s="9">
        <f t="shared" ref="D65:D70" si="5">SUM(C54:D54)</f>
        <v>0.95145631067961167</v>
      </c>
      <c r="E65" s="9">
        <f t="shared" ref="E65:E70" si="6">SUM(F43:G43)</f>
        <v>2.3622047244094488E-2</v>
      </c>
      <c r="F65" s="9">
        <f t="shared" ref="F65:F70" si="7">SUM(F54:G54)</f>
        <v>9.7087378640776691E-3</v>
      </c>
    </row>
    <row r="66" spans="2:9" x14ac:dyDescent="0.25">
      <c r="B66" s="8" t="s">
        <v>24</v>
      </c>
      <c r="C66" s="9">
        <f t="shared" si="4"/>
        <v>0.82400000000000007</v>
      </c>
      <c r="D66" s="9">
        <f t="shared" si="5"/>
        <v>0.92079207920792072</v>
      </c>
      <c r="E66" s="9">
        <f t="shared" si="6"/>
        <v>0.04</v>
      </c>
      <c r="F66" s="9">
        <f t="shared" si="7"/>
        <v>0</v>
      </c>
    </row>
    <row r="67" spans="2:9" x14ac:dyDescent="0.25">
      <c r="B67" s="8" t="s">
        <v>25</v>
      </c>
      <c r="C67" s="9">
        <f t="shared" si="4"/>
        <v>0.23622047244094488</v>
      </c>
      <c r="D67" s="9">
        <f t="shared" si="5"/>
        <v>0.20388349514563109</v>
      </c>
      <c r="E67" s="9">
        <f t="shared" si="6"/>
        <v>0.39370078740157477</v>
      </c>
      <c r="F67" s="9">
        <f t="shared" si="7"/>
        <v>0.59223300970873782</v>
      </c>
    </row>
    <row r="68" spans="2:9" x14ac:dyDescent="0.25">
      <c r="B68" s="8" t="s">
        <v>26</v>
      </c>
      <c r="C68" s="9">
        <f t="shared" si="4"/>
        <v>0.64</v>
      </c>
      <c r="D68" s="9">
        <f t="shared" si="5"/>
        <v>0.85436893203883502</v>
      </c>
      <c r="E68" s="9">
        <f t="shared" si="6"/>
        <v>0.04</v>
      </c>
      <c r="F68" s="9">
        <f t="shared" si="7"/>
        <v>1.9417475728155338E-2</v>
      </c>
    </row>
    <row r="69" spans="2:9" x14ac:dyDescent="0.25">
      <c r="B69" s="8" t="s">
        <v>27</v>
      </c>
      <c r="C69" s="9">
        <f t="shared" si="4"/>
        <v>0.54400000000000004</v>
      </c>
      <c r="D69" s="9">
        <f t="shared" si="5"/>
        <v>0.81553398058252424</v>
      </c>
      <c r="E69" s="9">
        <f t="shared" si="6"/>
        <v>4.8000000000000001E-2</v>
      </c>
      <c r="F69" s="9">
        <f t="shared" si="7"/>
        <v>5.8252427184466021E-2</v>
      </c>
    </row>
    <row r="70" spans="2:9" ht="30" x14ac:dyDescent="0.25">
      <c r="B70" s="8" t="s">
        <v>28</v>
      </c>
      <c r="C70" s="9">
        <f t="shared" si="4"/>
        <v>0.74015748031496065</v>
      </c>
      <c r="D70" s="9">
        <f t="shared" si="5"/>
        <v>0.95145631067961167</v>
      </c>
      <c r="E70" s="9">
        <f t="shared" si="6"/>
        <v>4.7244094488188976E-2</v>
      </c>
      <c r="F70" s="9">
        <f t="shared" si="7"/>
        <v>0</v>
      </c>
    </row>
    <row r="71" spans="2:9" x14ac:dyDescent="0.25">
      <c r="C71" s="15"/>
      <c r="D71" s="15"/>
      <c r="E71" s="15"/>
      <c r="F71" s="15"/>
      <c r="G71" s="15"/>
    </row>
    <row r="72" spans="2:9" x14ac:dyDescent="0.25">
      <c r="B72" s="5" t="s">
        <v>31</v>
      </c>
    </row>
    <row r="73" spans="2:9" x14ac:dyDescent="0.25">
      <c r="B73" s="5"/>
      <c r="C73" s="12" t="s">
        <v>3</v>
      </c>
      <c r="D73" s="12" t="s">
        <v>11</v>
      </c>
    </row>
    <row r="74" spans="2:9" x14ac:dyDescent="0.25">
      <c r="B74" s="8" t="s">
        <v>4</v>
      </c>
      <c r="C74" s="9">
        <v>0.30769230769230771</v>
      </c>
    </row>
    <row r="75" spans="2:9" x14ac:dyDescent="0.25">
      <c r="B75" s="8" t="s">
        <v>5</v>
      </c>
      <c r="C75" s="9">
        <v>0.56153846153846154</v>
      </c>
    </row>
    <row r="76" spans="2:9" x14ac:dyDescent="0.25">
      <c r="B76" s="8" t="s">
        <v>6</v>
      </c>
      <c r="C76" s="9">
        <v>0.12307692307692308</v>
      </c>
    </row>
    <row r="77" spans="2:9" x14ac:dyDescent="0.25">
      <c r="B77" s="8" t="s">
        <v>7</v>
      </c>
      <c r="C77" s="9">
        <v>7.6923076923076927E-3</v>
      </c>
    </row>
    <row r="80" spans="2:9" ht="18.75" x14ac:dyDescent="0.3">
      <c r="B80" s="2" t="s">
        <v>32</v>
      </c>
      <c r="C80" s="3"/>
      <c r="D80" s="3"/>
      <c r="E80" s="3"/>
      <c r="F80" s="3"/>
      <c r="G80" s="3"/>
      <c r="H80" s="3"/>
      <c r="I80" s="4"/>
    </row>
    <row r="82" spans="2:4" x14ac:dyDescent="0.25">
      <c r="B82" s="5" t="s">
        <v>33</v>
      </c>
    </row>
    <row r="83" spans="2:4" x14ac:dyDescent="0.25">
      <c r="B83" s="5"/>
      <c r="C83" s="12" t="s">
        <v>3</v>
      </c>
      <c r="D83" s="12" t="s">
        <v>11</v>
      </c>
    </row>
    <row r="84" spans="2:4" x14ac:dyDescent="0.25">
      <c r="B84" s="8" t="s">
        <v>34</v>
      </c>
      <c r="C84" s="9">
        <v>0.13076923076923078</v>
      </c>
      <c r="D84" s="9">
        <v>7.2727272727272724E-2</v>
      </c>
    </row>
    <row r="85" spans="2:4" x14ac:dyDescent="0.25">
      <c r="B85" s="8" t="s">
        <v>35</v>
      </c>
      <c r="C85" s="9">
        <v>0.86923076923076925</v>
      </c>
      <c r="D85" s="9">
        <v>0.92727272727272725</v>
      </c>
    </row>
    <row r="88" spans="2:4" x14ac:dyDescent="0.25">
      <c r="B88" s="5" t="s">
        <v>36</v>
      </c>
    </row>
    <row r="89" spans="2:4" x14ac:dyDescent="0.25">
      <c r="B89" s="5"/>
      <c r="C89" s="12" t="s">
        <v>3</v>
      </c>
      <c r="D89" s="12" t="s">
        <v>11</v>
      </c>
    </row>
    <row r="90" spans="2:4" x14ac:dyDescent="0.25">
      <c r="B90" s="8" t="s">
        <v>37</v>
      </c>
      <c r="C90" s="9">
        <v>3.5398230088495575E-2</v>
      </c>
      <c r="D90" s="9">
        <v>6.4814814814814811E-2</v>
      </c>
    </row>
    <row r="91" spans="2:4" x14ac:dyDescent="0.25">
      <c r="B91" s="8" t="s">
        <v>38</v>
      </c>
      <c r="C91" s="9">
        <v>8.8495575221238937E-3</v>
      </c>
      <c r="D91" s="9">
        <v>4.6296296296296294E-2</v>
      </c>
    </row>
    <row r="92" spans="2:4" x14ac:dyDescent="0.25">
      <c r="B92" s="8" t="s">
        <v>39</v>
      </c>
      <c r="C92" s="9">
        <v>4.4247787610619468E-2</v>
      </c>
      <c r="D92" s="9">
        <v>0.17592592592592593</v>
      </c>
    </row>
    <row r="93" spans="2:4" x14ac:dyDescent="0.25">
      <c r="B93" s="8" t="s">
        <v>40</v>
      </c>
      <c r="C93" s="9">
        <v>3.5398230088495575E-2</v>
      </c>
      <c r="D93" s="9">
        <v>0</v>
      </c>
    </row>
    <row r="94" spans="2:4" x14ac:dyDescent="0.25">
      <c r="B94" s="8" t="s">
        <v>41</v>
      </c>
      <c r="C94" s="9">
        <v>1.7699115044247787E-2</v>
      </c>
      <c r="D94" s="9">
        <v>0</v>
      </c>
    </row>
    <row r="95" spans="2:4" x14ac:dyDescent="0.25">
      <c r="B95" s="8" t="s">
        <v>42</v>
      </c>
      <c r="C95" s="9">
        <v>0.61946902654867253</v>
      </c>
      <c r="D95" s="9">
        <v>0.44444444444444442</v>
      </c>
    </row>
    <row r="96" spans="2:4" x14ac:dyDescent="0.25">
      <c r="B96" s="8" t="s">
        <v>43</v>
      </c>
      <c r="C96" s="9">
        <v>0.23893805309734514</v>
      </c>
      <c r="D96" s="9">
        <v>0.26851851851851855</v>
      </c>
    </row>
    <row r="98" spans="2:4" x14ac:dyDescent="0.25">
      <c r="B98" s="5" t="s">
        <v>44</v>
      </c>
    </row>
    <row r="99" spans="2:4" x14ac:dyDescent="0.25">
      <c r="B99" s="5"/>
      <c r="C99" s="12" t="s">
        <v>3</v>
      </c>
      <c r="D99" s="12" t="s">
        <v>11</v>
      </c>
    </row>
    <row r="100" spans="2:4" x14ac:dyDescent="0.25">
      <c r="B100" s="8" t="s">
        <v>45</v>
      </c>
      <c r="C100" s="9">
        <v>0.37692307692307692</v>
      </c>
      <c r="D100" s="9">
        <v>0.42201834862385323</v>
      </c>
    </row>
    <row r="101" spans="2:4" x14ac:dyDescent="0.25">
      <c r="B101" s="8" t="s">
        <v>18</v>
      </c>
      <c r="C101" s="9">
        <v>6.1538461538461542E-2</v>
      </c>
      <c r="D101" s="9">
        <v>0</v>
      </c>
    </row>
    <row r="102" spans="2:4" x14ac:dyDescent="0.25">
      <c r="B102" s="8" t="s">
        <v>46</v>
      </c>
      <c r="C102" s="9">
        <v>0.16153846153846155</v>
      </c>
      <c r="D102" s="9">
        <v>0.43119266055045874</v>
      </c>
    </row>
    <row r="103" spans="2:4" x14ac:dyDescent="0.25">
      <c r="B103" s="8" t="s">
        <v>47</v>
      </c>
      <c r="C103" s="9">
        <v>0.11538461538461539</v>
      </c>
      <c r="D103" s="9">
        <v>4.5871559633027525E-2</v>
      </c>
    </row>
    <row r="104" spans="2:4" x14ac:dyDescent="0.25">
      <c r="B104" s="8" t="s">
        <v>48</v>
      </c>
      <c r="C104" s="9">
        <v>0.2846153846153846</v>
      </c>
      <c r="D104" s="9">
        <v>0.10091743119266056</v>
      </c>
    </row>
    <row r="106" spans="2:4" x14ac:dyDescent="0.25">
      <c r="B106" s="5" t="s">
        <v>49</v>
      </c>
    </row>
    <row r="107" spans="2:4" x14ac:dyDescent="0.25">
      <c r="B107" s="5"/>
      <c r="C107" s="12" t="s">
        <v>3</v>
      </c>
      <c r="D107" s="12" t="s">
        <v>11</v>
      </c>
    </row>
    <row r="108" spans="2:4" x14ac:dyDescent="0.25">
      <c r="B108" s="8" t="s">
        <v>34</v>
      </c>
      <c r="C108" s="9">
        <v>0.23770491803278687</v>
      </c>
      <c r="D108" s="9">
        <v>9.8039215686274508E-2</v>
      </c>
    </row>
    <row r="109" spans="2:4" x14ac:dyDescent="0.25">
      <c r="B109" s="8" t="s">
        <v>35</v>
      </c>
      <c r="C109" s="9">
        <v>0.76229508196721307</v>
      </c>
      <c r="D109" s="9">
        <v>0.90196078431372551</v>
      </c>
    </row>
    <row r="112" spans="2:4" x14ac:dyDescent="0.25">
      <c r="B112" s="5" t="s">
        <v>50</v>
      </c>
    </row>
    <row r="113" spans="2:9" x14ac:dyDescent="0.25">
      <c r="B113" s="5"/>
      <c r="C113" s="12" t="s">
        <v>3</v>
      </c>
      <c r="D113" s="12" t="s">
        <v>11</v>
      </c>
    </row>
    <row r="114" spans="2:9" x14ac:dyDescent="0.25">
      <c r="B114" s="8" t="s">
        <v>34</v>
      </c>
      <c r="C114" s="9">
        <v>5.5118110236220472E-2</v>
      </c>
      <c r="D114" s="9">
        <v>9.6153846153846159E-3</v>
      </c>
    </row>
    <row r="115" spans="2:9" x14ac:dyDescent="0.25">
      <c r="B115" s="8" t="s">
        <v>35</v>
      </c>
      <c r="C115" s="9">
        <v>0.94488188976377951</v>
      </c>
      <c r="D115" s="9">
        <v>0.99038461538461542</v>
      </c>
    </row>
    <row r="118" spans="2:9" ht="18.75" x14ac:dyDescent="0.3">
      <c r="B118" s="2" t="s">
        <v>51</v>
      </c>
      <c r="C118" s="3"/>
      <c r="D118" s="3"/>
      <c r="E118" s="3"/>
      <c r="F118" s="3"/>
      <c r="G118" s="3"/>
      <c r="H118" s="3"/>
      <c r="I118" s="4"/>
    </row>
    <row r="120" spans="2:9" x14ac:dyDescent="0.25">
      <c r="B120" s="5" t="s">
        <v>52</v>
      </c>
    </row>
    <row r="121" spans="2:9" x14ac:dyDescent="0.25">
      <c r="B121" s="5"/>
      <c r="C121" s="12" t="s">
        <v>3</v>
      </c>
      <c r="D121" s="12" t="s">
        <v>11</v>
      </c>
    </row>
    <row r="122" spans="2:9" x14ac:dyDescent="0.25">
      <c r="B122" s="8" t="s">
        <v>34</v>
      </c>
      <c r="C122" s="9">
        <v>0.12096774193548387</v>
      </c>
      <c r="D122" s="9">
        <v>2.8846153846153848E-2</v>
      </c>
    </row>
    <row r="123" spans="2:9" x14ac:dyDescent="0.25">
      <c r="B123" s="8" t="s">
        <v>35</v>
      </c>
      <c r="C123" s="9">
        <v>0.87903225806451613</v>
      </c>
      <c r="D123" s="9">
        <v>0.97115384615384615</v>
      </c>
    </row>
    <row r="126" spans="2:9" x14ac:dyDescent="0.25">
      <c r="B126" s="5" t="s">
        <v>53</v>
      </c>
    </row>
    <row r="127" spans="2:9" x14ac:dyDescent="0.25">
      <c r="B127" s="5"/>
      <c r="C127" s="12" t="s">
        <v>3</v>
      </c>
      <c r="D127" s="12" t="s">
        <v>11</v>
      </c>
    </row>
    <row r="128" spans="2:9" x14ac:dyDescent="0.25">
      <c r="B128" s="8" t="s">
        <v>34</v>
      </c>
      <c r="C128" s="9">
        <v>0.16666666666666666</v>
      </c>
      <c r="D128" s="9">
        <v>0.13207547169811321</v>
      </c>
    </row>
    <row r="129" spans="2:4" x14ac:dyDescent="0.25">
      <c r="B129" s="8" t="s">
        <v>35</v>
      </c>
      <c r="C129" s="9">
        <v>0.83333333333333337</v>
      </c>
      <c r="D129" s="9">
        <v>0.86792452830188682</v>
      </c>
    </row>
    <row r="132" spans="2:4" x14ac:dyDescent="0.25">
      <c r="B132" s="5" t="s">
        <v>54</v>
      </c>
    </row>
    <row r="133" spans="2:4" x14ac:dyDescent="0.25">
      <c r="B133" s="5"/>
      <c r="C133" s="12" t="s">
        <v>3</v>
      </c>
      <c r="D133" s="12" t="s">
        <v>11</v>
      </c>
    </row>
    <row r="134" spans="2:4" x14ac:dyDescent="0.25">
      <c r="B134" s="8" t="s">
        <v>55</v>
      </c>
      <c r="C134" s="9">
        <v>0.53076923076923077</v>
      </c>
      <c r="D134" s="9">
        <v>0.64864864864864868</v>
      </c>
    </row>
    <row r="135" spans="2:4" x14ac:dyDescent="0.25">
      <c r="B135" s="8" t="s">
        <v>15</v>
      </c>
      <c r="C135" s="9">
        <v>6.1538461538461542E-2</v>
      </c>
      <c r="D135" s="9">
        <v>0.14414414414414414</v>
      </c>
    </row>
    <row r="136" spans="2:4" x14ac:dyDescent="0.25">
      <c r="B136" s="8" t="s">
        <v>56</v>
      </c>
      <c r="C136" s="9">
        <v>3.8461538461538464E-2</v>
      </c>
      <c r="D136" s="9">
        <v>5.4054054054054057E-2</v>
      </c>
    </row>
    <row r="137" spans="2:4" x14ac:dyDescent="0.25">
      <c r="B137" s="8" t="s">
        <v>18</v>
      </c>
      <c r="C137" s="9">
        <v>1.5384615384615385E-2</v>
      </c>
      <c r="D137" s="9">
        <v>3.6036036036036036E-2</v>
      </c>
    </row>
    <row r="138" spans="2:4" x14ac:dyDescent="0.25">
      <c r="B138" s="8" t="s">
        <v>17</v>
      </c>
      <c r="C138" s="9">
        <v>7.6923076923076927E-3</v>
      </c>
      <c r="D138" s="9">
        <v>2.7027027027027029E-2</v>
      </c>
    </row>
    <row r="139" spans="2:4" x14ac:dyDescent="0.25">
      <c r="B139" s="8" t="s">
        <v>16</v>
      </c>
      <c r="C139" s="9">
        <v>0.34615384615384615</v>
      </c>
      <c r="D139" s="9">
        <v>9.0090090090090086E-2</v>
      </c>
    </row>
    <row r="142" spans="2:4" x14ac:dyDescent="0.25">
      <c r="B142" s="5" t="s">
        <v>57</v>
      </c>
    </row>
    <row r="143" spans="2:4" x14ac:dyDescent="0.25">
      <c r="B143" s="5"/>
      <c r="C143" s="12" t="s">
        <v>3</v>
      </c>
      <c r="D143" s="12" t="s">
        <v>11</v>
      </c>
    </row>
    <row r="144" spans="2:4" x14ac:dyDescent="0.25">
      <c r="B144" s="8" t="s">
        <v>58</v>
      </c>
      <c r="C144" s="9">
        <v>0.83846153846153848</v>
      </c>
      <c r="D144" s="9">
        <v>0.67619047619047623</v>
      </c>
    </row>
    <row r="145" spans="2:4" x14ac:dyDescent="0.25">
      <c r="B145" s="8" t="s">
        <v>59</v>
      </c>
      <c r="C145" s="9">
        <v>0.12307692307692308</v>
      </c>
      <c r="D145" s="9">
        <v>3.8095238095238099E-2</v>
      </c>
    </row>
    <row r="146" spans="2:4" x14ac:dyDescent="0.25">
      <c r="B146" s="8" t="s">
        <v>60</v>
      </c>
      <c r="C146" s="9">
        <v>0</v>
      </c>
      <c r="D146" s="9">
        <v>2.8571428571428571E-2</v>
      </c>
    </row>
    <row r="147" spans="2:4" x14ac:dyDescent="0.25">
      <c r="B147" s="8" t="s">
        <v>61</v>
      </c>
      <c r="C147" s="9">
        <v>0</v>
      </c>
      <c r="D147" s="9">
        <v>0.21904761904761905</v>
      </c>
    </row>
    <row r="148" spans="2:4" x14ac:dyDescent="0.25">
      <c r="B148" s="8" t="s">
        <v>56</v>
      </c>
      <c r="C148" s="9">
        <v>3.8461538461538464E-2</v>
      </c>
      <c r="D148" s="9">
        <v>3.8095238095238099E-2</v>
      </c>
    </row>
  </sheetData>
  <mergeCells count="8">
    <mergeCell ref="C62:D62"/>
    <mergeCell ref="E62:F62"/>
    <mergeCell ref="C8:F8"/>
    <mergeCell ref="C15:F15"/>
    <mergeCell ref="C22:D22"/>
    <mergeCell ref="E22:F22"/>
    <mergeCell ref="C40:G40"/>
    <mergeCell ref="C51:G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KAP Men Endline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Muiruri</dc:creator>
  <cp:lastModifiedBy>Benard Muiruri</cp:lastModifiedBy>
  <dcterms:created xsi:type="dcterms:W3CDTF">2026-02-24T20:06:27Z</dcterms:created>
  <dcterms:modified xsi:type="dcterms:W3CDTF">2026-02-24T20:07:03Z</dcterms:modified>
</cp:coreProperties>
</file>