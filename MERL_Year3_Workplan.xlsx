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13_ncr:1_{B60B4D0D-7F1D-4C2A-A5F3-445EDB0FE5A0}" xr6:coauthVersionLast="47" xr6:coauthVersionMax="47" xr10:uidLastSave="{00000000-0000-0000-0000-000000000000}"/>
  <bookViews>
    <workbookView xWindow="3330" yWindow="3330" windowWidth="21600" windowHeight="11175" xr2:uid="{00000000-000D-0000-FFFF-FFFF00000000}"/>
  </bookViews>
  <sheets>
    <sheet name="MERL Year 3 Workplan" sheetId="1" r:id="rId1"/>
    <sheet name="Dashboard" sheetId="3" r:id="rId2"/>
  </sheets>
  <definedNames>
    <definedName name="_xlnm._FilterDatabase" localSheetId="0" hidden="1">'MERL Year 3 Workplan'!$A$1:$G$21</definedName>
    <definedName name="_xlcn.WorksheetConnection_MERLYear3WorkplanA1G211" hidden="1">'MERL Year 3 Workplan'!$A$1:$G$21</definedName>
  </definedNames>
  <calcPr calcId="0"/>
  <pivotCaches>
    <pivotCache cacheId="59" r:id="rId3"/>
    <pivotCache cacheId="62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MERL Year 3 Workplan!$A$1:$G$21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C19244-4893-4979-97B1-307B65CAF12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2F5E126-F2B4-496F-9974-F3E08384ED7A}" name="WorksheetConnection_MERL Year 3 Workplan!$A$1:$G$2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ERLYear3WorkplanA1G211"/>
        </x15:connection>
      </ext>
    </extLst>
  </connection>
</connections>
</file>

<file path=xl/sharedStrings.xml><?xml version="1.0" encoding="utf-8"?>
<sst xmlns="http://schemas.openxmlformats.org/spreadsheetml/2006/main" count="142" uniqueCount="94">
  <si>
    <t>Objective</t>
  </si>
  <si>
    <t>Responsible</t>
  </si>
  <si>
    <t>1. Quality Delivery of MERL Functions</t>
  </si>
  <si>
    <t>Maintain and implement COSME M&amp;E framework, Theory of Change alignment, and MIS</t>
  </si>
  <si>
    <t>Updated MERL framework &amp; MIS</t>
  </si>
  <si>
    <t>≥90% MERL deliverables on time</t>
  </si>
  <si>
    <t>MERL Officer</t>
  </si>
  <si>
    <t>Conduct routine data collection, entry, and verification</t>
  </si>
  <si>
    <t>Monthly monitoring datasets</t>
  </si>
  <si>
    <t>100% of data quality issues resolved within 2 weeks</t>
  </si>
  <si>
    <t>Monthly</t>
  </si>
  <si>
    <t>MERL Officer, Project staff</t>
  </si>
  <si>
    <t>Produce MERL reports (monthly, quarterly, annual)</t>
  </si>
  <si>
    <t>Progress reports</t>
  </si>
  <si>
    <t>100% reports on time, complete, satisfactory</t>
  </si>
  <si>
    <t>Monthly/Quarterly/Annual</t>
  </si>
  <si>
    <t>Maintain MERL risk tracking and mitigation plans</t>
  </si>
  <si>
    <t>Updated MERL risk log</t>
  </si>
  <si>
    <t>100% MERL risks tracked quarterly</t>
  </si>
  <si>
    <t>Quarterly</t>
  </si>
  <si>
    <t>MERL Officer + Project Manager</t>
  </si>
  <si>
    <t>2. Managing Project Results &amp; Partner Accountability</t>
  </si>
  <si>
    <t>Coordinate routine monitoring with staff, WROs, YLOs</t>
  </si>
  <si>
    <t>Monitoring schedules &amp; reports</t>
  </si>
  <si>
    <t>≥90% indicators on track</t>
  </si>
  <si>
    <t>MERL Officer + Partners</t>
  </si>
  <si>
    <t>Conduct performance/results review sessions</t>
  </si>
  <si>
    <t>Review meeting minutes &amp; action points</t>
  </si>
  <si>
    <t>≥1 review session quarterly</t>
  </si>
  <si>
    <t>Update project results on SAP/PMERL</t>
  </si>
  <si>
    <t>Updated SAP/PMERL entries</t>
  </si>
  <si>
    <t>100% results updated</t>
  </si>
  <si>
    <t>Monthly/Quarterly</t>
  </si>
  <si>
    <t>Implement partner MERL capacity strengthening follow-up plans</t>
  </si>
  <si>
    <t>Training follow-up reports</t>
  </si>
  <si>
    <t>100% plans implemented</t>
  </si>
  <si>
    <t>Semi-annual</t>
  </si>
  <si>
    <t>Facilitate evidence-based adaptations</t>
  </si>
  <si>
    <t>Adaptation briefs</t>
  </si>
  <si>
    <t>≥2 adaptations made annually</t>
  </si>
  <si>
    <t>Annual</t>
  </si>
  <si>
    <t>3. Learning, Knowledge Management &amp; Influencing</t>
  </si>
  <si>
    <t>Produce and disseminate learning products (case studies, stories, lessons)</t>
  </si>
  <si>
    <t>≥3 learning products</t>
  </si>
  <si>
    <t>≥3 learning products disseminated</t>
  </si>
  <si>
    <t>Bi-annual/Annual</t>
  </si>
  <si>
    <t>MERL Officer + Comms</t>
  </si>
  <si>
    <t>Share evidence products with external forums</t>
  </si>
  <si>
    <t>≥2 evidence briefs</t>
  </si>
  <si>
    <t>≥2 shared externally</t>
  </si>
  <si>
    <t>Document best practices &amp; lessons learned</t>
  </si>
  <si>
    <t>Lessons learned report</t>
  </si>
  <si>
    <t>100% fed into project design</t>
  </si>
  <si>
    <t>Maintain interactive dashboards &amp; GIS system</t>
  </si>
  <si>
    <t>Functional dashboards &amp; GIS</t>
  </si>
  <si>
    <t>System updated quarterly</t>
  </si>
  <si>
    <t>4. Capacity Strengthening of Staff, WROs, YLOs</t>
  </si>
  <si>
    <t>Conduct MERL training &amp; coaching sessions</t>
  </si>
  <si>
    <t>Training reports</t>
  </si>
  <si>
    <t>≥2 capacity sessions conducted</t>
  </si>
  <si>
    <t>Provide ongoing coaching &amp; mentorship</t>
  </si>
  <si>
    <t>Mentorship logs</t>
  </si>
  <si>
    <t>≥80% participants show improved skills</t>
  </si>
  <si>
    <t>Ongoing</t>
  </si>
  <si>
    <t>Track and address MERL support needs</t>
  </si>
  <si>
    <t>Support follow-up reports</t>
  </si>
  <si>
    <t>100% needs addressed</t>
  </si>
  <si>
    <t>5. Safeguarding &amp; GEI Integration in MERL</t>
  </si>
  <si>
    <t>Induct staff, WROs, YLOs, and RAs on Safeguarding &amp; GEI</t>
  </si>
  <si>
    <t>Induction reports</t>
  </si>
  <si>
    <t>100% inducted</t>
  </si>
  <si>
    <t>MERL Officer + Safeguarding Focal Point</t>
  </si>
  <si>
    <t>Integrate GEI &amp; safeguarding in all MERL tools/reports</t>
  </si>
  <si>
    <t>GEI-integrated tools/reports</t>
  </si>
  <si>
    <t>100% tools updated</t>
  </si>
  <si>
    <t>Conduct quarterly GEI &amp; safeguarding compliance checks</t>
  </si>
  <si>
    <t>Compliance reports</t>
  </si>
  <si>
    <t>4 reports annually</t>
  </si>
  <si>
    <t>Ensure sex, age, disability disaggregated data (SADD)</t>
  </si>
  <si>
    <t>Disaggregated datasets</t>
  </si>
  <si>
    <t>100% datasets disaggregated</t>
  </si>
  <si>
    <t>Row Labels</t>
  </si>
  <si>
    <t>(blank)</t>
  </si>
  <si>
    <t>Grand Total</t>
  </si>
  <si>
    <t>Count of Key Activities</t>
  </si>
  <si>
    <t>Column Labels</t>
  </si>
  <si>
    <t>Key Activities status by objective</t>
  </si>
  <si>
    <t/>
  </si>
  <si>
    <t>Activity</t>
  </si>
  <si>
    <t>Deliverable</t>
  </si>
  <si>
    <t>Indicator</t>
  </si>
  <si>
    <t>Timeline</t>
  </si>
  <si>
    <t>Progress Update</t>
  </si>
  <si>
    <t>Continuos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</si>
</sst>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[MERL_Year3_Workplan.xlsx]Dashboard!PivotTable1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Activities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Dashboard!$B$4:$B$5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05E-94EA-C3110C7970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14287</xdr:rowOff>
    </xdr:from>
    <xdr:to>
      <xdr:col>5</xdr:col>
      <xdr:colOff>438150</xdr:colOff>
      <xdr:row>14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C1E22-DF9E-4BFA-B6E0-A1BB33480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ard Muiruri" refreshedDate="45916.679900694442" backgroundQuery="1" createdVersion="7" refreshedVersion="7" minRefreshableVersion="3" recordCount="0" supportSubquery="1" supportAdvancedDrill="1" xr:uid="{964ED349-AA53-4934-9754-0F7DEF51D846}">
  <cacheSource type="external" connectionId="1"/>
  <cacheFields count="3">
    <cacheField name="[Range].[Objective].[Objective]" caption="Objective" numFmtId="0" level="1">
      <sharedItems count="5">
        <s v="1. Quality Delivery of MERL Functions"/>
        <s v="2. Managing Project Results &amp; Partner Accountability"/>
        <s v="3. Learning, Knowledge Management &amp; Influencing"/>
        <s v="4. Capacity Strengthening of Staff, WROs, YLOs"/>
        <s v="5. Safeguarding &amp; GEI Integration in MERL"/>
      </sharedItems>
    </cacheField>
    <cacheField name="[Range].[Status].[Status]" caption="Status" numFmtId="0" hierarchy="6" level="1">
      <sharedItems containsNonDate="0" containsString="0" containsBlank="1" count="1">
        <m/>
      </sharedItems>
    </cacheField>
    <cacheField name="[Measures].[Count of Key Activities]" caption="Count of Key Activities" numFmtId="0" hierarchy="9" level="32767"/>
  </cacheFields>
  <cacheHierarchies count="10">
    <cacheHierarchy uniqueName="[Range].[Objective]" caption="Objective" attribute="1" defaultMemberUniqueName="[Range].[Objective].[All]" allUniqueName="[Range].[Objectiv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Key Activities]" caption="Key Activities" attribute="1" defaultMemberUniqueName="[Range].[Key Activities].[All]" allUniqueName="[Range].[Key Activities].[All]" dimensionUniqueName="[Range]" displayFolder="" count="0" memberValueDatatype="130" unbalanced="0"/>
    <cacheHierarchy uniqueName="[Range].[Deliverables]" caption="Deliverables" attribute="1" defaultMemberUniqueName="[Range].[Deliverables].[All]" allUniqueName="[Range].[Deliverables].[All]" dimensionUniqueName="[Range]" displayFolder="" count="0" memberValueDatatype="130" unbalanced="0"/>
    <cacheHierarchy uniqueName="[Range].[Performance Indicators]" caption="Performance Indicators" attribute="1" defaultMemberUniqueName="[Range].[Performance Indicators].[All]" allUniqueName="[Range].[Performance Indicators].[All]" dimensionUniqueName="[Range]" displayFolder="" count="0" memberValueDatatype="130" unbalanced="0"/>
    <cacheHierarchy uniqueName="[Range].[Timeline (Year 3)]" caption="Timeline (Year 3)" attribute="1" defaultMemberUniqueName="[Range].[Timeline (Year 3)].[All]" allUniqueName="[Range].[Timeline (Year 3)].[All]" dimensionUniqueName="[Range]" displayFolder="" count="0" memberValueDatatype="130" unbalanced="0"/>
    <cacheHierarchy uniqueName="[Range].[Responsible]" caption="Responsible" attribute="1" defaultMemberUniqueName="[Range].[Responsible].[All]" allUniqueName="[Range].[Responsibl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Key Activities]" caption="Count of Key Activiti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ard Muiruri" refreshedDate="45916.679901736112" backgroundQuery="1" createdVersion="7" refreshedVersion="7" minRefreshableVersion="3" recordCount="0" supportSubquery="1" supportAdvancedDrill="1" xr:uid="{225F0DEA-706A-4A59-B845-A44FF2A8DEBA}">
  <cacheSource type="external" connectionId="1"/>
  <cacheFields count="2">
    <cacheField name="[Range].[Status].[Status]" caption="Status" numFmtId="0" hierarchy="6" level="1">
      <sharedItems containsNonDate="0" containsString="0" containsBlank="1" count="1">
        <m/>
      </sharedItems>
    </cacheField>
    <cacheField name="[Measures].[Count of Key Activities]" caption="Count of Key Activities" numFmtId="0" hierarchy="9" level="32767"/>
  </cacheFields>
  <cacheHierarchies count="10">
    <cacheHierarchy uniqueName="[Range].[Objective]" caption="Objective" attribute="1" defaultMemberUniqueName="[Range].[Objective].[All]" allUniqueName="[Range].[Objective].[All]" dimensionUniqueName="[Range]" displayFolder="" count="0" memberValueDatatype="130" unbalanced="0"/>
    <cacheHierarchy uniqueName="[Range].[Key Activities]" caption="Key Activities" attribute="1" defaultMemberUniqueName="[Range].[Key Activities].[All]" allUniqueName="[Range].[Key Activities].[All]" dimensionUniqueName="[Range]" displayFolder="" count="0" memberValueDatatype="130" unbalanced="0"/>
    <cacheHierarchy uniqueName="[Range].[Deliverables]" caption="Deliverables" attribute="1" defaultMemberUniqueName="[Range].[Deliverables].[All]" allUniqueName="[Range].[Deliverables].[All]" dimensionUniqueName="[Range]" displayFolder="" count="0" memberValueDatatype="130" unbalanced="0"/>
    <cacheHierarchy uniqueName="[Range].[Performance Indicators]" caption="Performance Indicators" attribute="1" defaultMemberUniqueName="[Range].[Performance Indicators].[All]" allUniqueName="[Range].[Performance Indicators].[All]" dimensionUniqueName="[Range]" displayFolder="" count="0" memberValueDatatype="130" unbalanced="0"/>
    <cacheHierarchy uniqueName="[Range].[Timeline (Year 3)]" caption="Timeline (Year 3)" attribute="1" defaultMemberUniqueName="[Range].[Timeline (Year 3)].[All]" allUniqueName="[Range].[Timeline (Year 3)].[All]" dimensionUniqueName="[Range]" displayFolder="" count="0" memberValueDatatype="130" unbalanced="0"/>
    <cacheHierarchy uniqueName="[Range].[Responsible]" caption="Responsible" attribute="1" defaultMemberUniqueName="[Range].[Responsible].[All]" allUniqueName="[Range].[Responsibl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Key Activities]" caption="Count of Key Activiti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000AE-201E-4F38-88F4-461179490D92}" name="PivotTable3" cacheId="5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">
  <location ref="A17:C24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">
    <i>
      <x/>
    </i>
    <i t="grand">
      <x/>
    </i>
  </colItems>
  <dataFields count="1">
    <dataField name="Key Activities status by objective" fld="2" subtotal="count" baseField="0" baseItem="0"/>
  </dataFields>
  <formats count="1">
    <format dxfId="1">
      <pivotArea outline="0" collapsedLevelsAreSubtotals="1" fieldPosition="0"/>
    </format>
  </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Key Activities status by objective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RL Year 3 Workplan!$A$1:$G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7746E-D5C8-4E26-A2E7-803AF245239E}" name="PivotTable1" cacheId="6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Key Activities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RL Year 3 Workplan!$A$1:$G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8" activePane="bottomLeft" state="frozen"/>
      <selection pane="bottomLeft" activeCell="B17" sqref="B17"/>
    </sheetView>
  </sheetViews>
  <sheetFormatPr defaultRowHeight="15" x14ac:dyDescent="0.25"/>
  <cols>
    <col min="1" max="1" width="48.140625" customWidth="1"/>
    <col min="2" max="2" width="43.42578125" style="1" customWidth="1"/>
    <col min="3" max="3" width="40" customWidth="1"/>
    <col min="4" max="4" width="48.28515625" customWidth="1"/>
    <col min="5" max="5" width="26" customWidth="1"/>
    <col min="6" max="6" width="37" customWidth="1"/>
    <col min="7" max="7" width="11.140625" bestFit="1" customWidth="1"/>
  </cols>
  <sheetData>
    <row r="1" spans="1:7" x14ac:dyDescent="0.25">
      <c r="A1" s="2" t="s">
        <v>0</v>
      </c>
      <c r="B1" s="3" t="s">
        <v>88</v>
      </c>
      <c r="C1" s="2" t="s">
        <v>89</v>
      </c>
      <c r="D1" s="2" t="s">
        <v>90</v>
      </c>
      <c r="E1" s="2" t="s">
        <v>91</v>
      </c>
      <c r="F1" s="2" t="s">
        <v>1</v>
      </c>
      <c r="G1" s="14" t="s">
        <v>92</v>
      </c>
    </row>
    <row r="2" spans="1:7" ht="45" x14ac:dyDescent="0.25">
      <c r="A2" s="4" t="s">
        <v>2</v>
      </c>
      <c r="B2" s="5" t="s">
        <v>3</v>
      </c>
      <c r="C2" s="4" t="s">
        <v>4</v>
      </c>
      <c r="D2" s="4" t="s">
        <v>5</v>
      </c>
      <c r="E2" s="4" t="s">
        <v>10</v>
      </c>
      <c r="F2" s="4" t="s">
        <v>6</v>
      </c>
      <c r="G2" s="4"/>
    </row>
    <row r="3" spans="1:7" ht="30" x14ac:dyDescent="0.25">
      <c r="A3" s="4" t="s">
        <v>2</v>
      </c>
      <c r="B3" s="5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/>
    </row>
    <row r="4" spans="1:7" ht="30" x14ac:dyDescent="0.25">
      <c r="A4" s="4" t="s">
        <v>2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6</v>
      </c>
      <c r="G4" s="4"/>
    </row>
    <row r="5" spans="1:7" ht="30" x14ac:dyDescent="0.25">
      <c r="A5" s="4" t="s">
        <v>2</v>
      </c>
      <c r="B5" s="5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/>
    </row>
    <row r="6" spans="1:7" ht="30" x14ac:dyDescent="0.25">
      <c r="A6" s="6" t="s">
        <v>21</v>
      </c>
      <c r="B6" s="7" t="s">
        <v>22</v>
      </c>
      <c r="C6" s="6" t="s">
        <v>23</v>
      </c>
      <c r="D6" s="6" t="s">
        <v>24</v>
      </c>
      <c r="E6" s="6" t="s">
        <v>10</v>
      </c>
      <c r="F6" s="6" t="s">
        <v>25</v>
      </c>
      <c r="G6" s="6"/>
    </row>
    <row r="7" spans="1:7" ht="30" x14ac:dyDescent="0.25">
      <c r="A7" s="6" t="s">
        <v>21</v>
      </c>
      <c r="B7" s="7" t="s">
        <v>26</v>
      </c>
      <c r="C7" s="6" t="s">
        <v>27</v>
      </c>
      <c r="D7" s="6" t="s">
        <v>28</v>
      </c>
      <c r="E7" s="6" t="s">
        <v>19</v>
      </c>
      <c r="F7" s="6" t="s">
        <v>6</v>
      </c>
      <c r="G7" s="6"/>
    </row>
    <row r="8" spans="1:7" x14ac:dyDescent="0.25">
      <c r="A8" s="6" t="s">
        <v>21</v>
      </c>
      <c r="B8" s="7" t="s">
        <v>29</v>
      </c>
      <c r="C8" s="6" t="s">
        <v>30</v>
      </c>
      <c r="D8" s="6" t="s">
        <v>31</v>
      </c>
      <c r="E8" s="6" t="s">
        <v>32</v>
      </c>
      <c r="F8" s="6" t="s">
        <v>6</v>
      </c>
      <c r="G8" s="6"/>
    </row>
    <row r="9" spans="1:7" ht="30" x14ac:dyDescent="0.25">
      <c r="A9" s="6" t="s">
        <v>21</v>
      </c>
      <c r="B9" s="7" t="s">
        <v>33</v>
      </c>
      <c r="C9" s="6" t="s">
        <v>34</v>
      </c>
      <c r="D9" s="6" t="s">
        <v>35</v>
      </c>
      <c r="E9" s="6" t="s">
        <v>36</v>
      </c>
      <c r="F9" s="6" t="s">
        <v>25</v>
      </c>
      <c r="G9" s="6"/>
    </row>
    <row r="10" spans="1:7" x14ac:dyDescent="0.25">
      <c r="A10" s="6" t="s">
        <v>21</v>
      </c>
      <c r="B10" s="7" t="s">
        <v>37</v>
      </c>
      <c r="C10" s="6" t="s">
        <v>38</v>
      </c>
      <c r="D10" s="6" t="s">
        <v>39</v>
      </c>
      <c r="E10" s="6" t="s">
        <v>40</v>
      </c>
      <c r="F10" s="6" t="s">
        <v>20</v>
      </c>
      <c r="G10" s="6"/>
    </row>
    <row r="11" spans="1:7" ht="30" x14ac:dyDescent="0.25">
      <c r="A11" s="8" t="s">
        <v>41</v>
      </c>
      <c r="B11" s="9" t="s">
        <v>42</v>
      </c>
      <c r="C11" s="8" t="s">
        <v>43</v>
      </c>
      <c r="D11" s="8" t="s">
        <v>44</v>
      </c>
      <c r="E11" s="8" t="s">
        <v>45</v>
      </c>
      <c r="F11" s="8" t="s">
        <v>46</v>
      </c>
      <c r="G11" s="8"/>
    </row>
    <row r="12" spans="1:7" ht="30" x14ac:dyDescent="0.25">
      <c r="A12" s="8" t="s">
        <v>41</v>
      </c>
      <c r="B12" s="9" t="s">
        <v>47</v>
      </c>
      <c r="C12" s="8" t="s">
        <v>48</v>
      </c>
      <c r="D12" s="8" t="s">
        <v>49</v>
      </c>
      <c r="E12" s="8" t="s">
        <v>40</v>
      </c>
      <c r="F12" s="8" t="s">
        <v>20</v>
      </c>
      <c r="G12" s="8"/>
    </row>
    <row r="13" spans="1:7" ht="30" x14ac:dyDescent="0.25">
      <c r="A13" s="8" t="s">
        <v>41</v>
      </c>
      <c r="B13" s="9" t="s">
        <v>50</v>
      </c>
      <c r="C13" s="8" t="s">
        <v>51</v>
      </c>
      <c r="D13" s="8" t="s">
        <v>52</v>
      </c>
      <c r="E13" s="8" t="s">
        <v>19</v>
      </c>
      <c r="F13" s="8" t="s">
        <v>25</v>
      </c>
      <c r="G13" s="8"/>
    </row>
    <row r="14" spans="1:7" ht="30" x14ac:dyDescent="0.25">
      <c r="A14" s="8" t="s">
        <v>41</v>
      </c>
      <c r="B14" s="9" t="s">
        <v>53</v>
      </c>
      <c r="C14" s="8" t="s">
        <v>54</v>
      </c>
      <c r="D14" s="8" t="s">
        <v>55</v>
      </c>
      <c r="E14" s="8" t="s">
        <v>19</v>
      </c>
      <c r="F14" s="8" t="s">
        <v>6</v>
      </c>
      <c r="G14" s="8"/>
    </row>
    <row r="15" spans="1:7" ht="30" x14ac:dyDescent="0.25">
      <c r="A15" s="10" t="s">
        <v>56</v>
      </c>
      <c r="B15" s="11" t="s">
        <v>57</v>
      </c>
      <c r="C15" s="10" t="s">
        <v>58</v>
      </c>
      <c r="D15" s="10" t="s">
        <v>59</v>
      </c>
      <c r="E15" s="10" t="s">
        <v>36</v>
      </c>
      <c r="F15" s="10" t="s">
        <v>6</v>
      </c>
      <c r="G15" s="10"/>
    </row>
    <row r="16" spans="1:7" x14ac:dyDescent="0.25">
      <c r="A16" s="10" t="s">
        <v>56</v>
      </c>
      <c r="B16" s="11" t="s">
        <v>60</v>
      </c>
      <c r="C16" s="10" t="s">
        <v>61</v>
      </c>
      <c r="D16" s="10" t="s">
        <v>62</v>
      </c>
      <c r="E16" s="10" t="s">
        <v>63</v>
      </c>
      <c r="F16" s="10" t="s">
        <v>6</v>
      </c>
      <c r="G16" s="10"/>
    </row>
    <row r="17" spans="1:7" x14ac:dyDescent="0.25">
      <c r="A17" s="10" t="s">
        <v>56</v>
      </c>
      <c r="B17" s="11" t="s">
        <v>64</v>
      </c>
      <c r="C17" s="10" t="s">
        <v>65</v>
      </c>
      <c r="D17" s="10" t="s">
        <v>66</v>
      </c>
      <c r="E17" s="10" t="s">
        <v>19</v>
      </c>
      <c r="F17" s="10" t="s">
        <v>6</v>
      </c>
      <c r="G17" s="10"/>
    </row>
    <row r="18" spans="1:7" ht="30" x14ac:dyDescent="0.25">
      <c r="A18" s="12" t="s">
        <v>67</v>
      </c>
      <c r="B18" s="13" t="s">
        <v>68</v>
      </c>
      <c r="C18" s="12" t="s">
        <v>69</v>
      </c>
      <c r="D18" s="12" t="s">
        <v>70</v>
      </c>
      <c r="E18" s="12" t="s">
        <v>93</v>
      </c>
      <c r="F18" s="12" t="s">
        <v>71</v>
      </c>
      <c r="G18" s="12"/>
    </row>
    <row r="19" spans="1:7" ht="30" x14ac:dyDescent="0.25">
      <c r="A19" s="12" t="s">
        <v>67</v>
      </c>
      <c r="B19" s="13" t="s">
        <v>72</v>
      </c>
      <c r="C19" s="12" t="s">
        <v>73</v>
      </c>
      <c r="D19" s="12" t="s">
        <v>74</v>
      </c>
      <c r="E19" s="12" t="s">
        <v>63</v>
      </c>
      <c r="F19" s="12" t="s">
        <v>6</v>
      </c>
      <c r="G19" s="12"/>
    </row>
    <row r="20" spans="1:7" ht="30" x14ac:dyDescent="0.25">
      <c r="A20" s="12" t="s">
        <v>67</v>
      </c>
      <c r="B20" s="13" t="s">
        <v>75</v>
      </c>
      <c r="C20" s="12" t="s">
        <v>76</v>
      </c>
      <c r="D20" s="12" t="s">
        <v>77</v>
      </c>
      <c r="E20" s="12" t="s">
        <v>19</v>
      </c>
      <c r="F20" s="12" t="s">
        <v>6</v>
      </c>
      <c r="G20" s="12"/>
    </row>
    <row r="21" spans="1:7" ht="30" x14ac:dyDescent="0.25">
      <c r="A21" s="12" t="s">
        <v>67</v>
      </c>
      <c r="B21" s="13" t="s">
        <v>78</v>
      </c>
      <c r="C21" s="12" t="s">
        <v>79</v>
      </c>
      <c r="D21" s="12" t="s">
        <v>80</v>
      </c>
      <c r="E21" s="12" t="s">
        <v>63</v>
      </c>
      <c r="F21" s="12" t="s">
        <v>6</v>
      </c>
      <c r="G21" s="12"/>
    </row>
  </sheetData>
  <autoFilter ref="A1:G21" xr:uid="{00000000-0001-0000-0000-000000000000}"/>
  <conditionalFormatting sqref="G2:G21">
    <cfRule type="containsText" dxfId="2" priority="4" operator="containsText" text="Completed">
      <formula>NOT(ISERROR(SEARCH("Completed",G2)))</formula>
    </cfRule>
    <cfRule type="containsText" dxfId="3" priority="3" operator="containsText" text="Ongoing">
      <formula>NOT(ISERROR(SEARCH("Ongoing",G2)))</formula>
    </cfRule>
    <cfRule type="containsText" dxfId="4" priority="2" operator="containsText" text="Not Started">
      <formula>NOT(ISERROR(SEARCH("Not Started",G2)))</formula>
    </cfRule>
    <cfRule type="containsText" dxfId="5" priority="1" operator="containsText" text="Cancelled">
      <formula>NOT(ISERROR(SEARCH("Cancelled",G2)))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2333-79FC-4B2E-ABA3-5388240708F0}">
  <dimension ref="A3:C24"/>
  <sheetViews>
    <sheetView workbookViewId="0">
      <selection activeCell="B29" sqref="B29:B30"/>
    </sheetView>
  </sheetViews>
  <sheetFormatPr defaultRowHeight="15" x14ac:dyDescent="0.25"/>
  <cols>
    <col min="1" max="1" width="48.42578125" bestFit="1" customWidth="1"/>
    <col min="2" max="2" width="21.42578125" bestFit="1" customWidth="1"/>
    <col min="3" max="3" width="11.28515625" bestFit="1" customWidth="1"/>
    <col min="4" max="4" width="11.42578125" customWidth="1"/>
    <col min="6" max="6" width="11" customWidth="1"/>
  </cols>
  <sheetData>
    <row r="3" spans="1:2" x14ac:dyDescent="0.25">
      <c r="A3" s="15" t="s">
        <v>81</v>
      </c>
      <c r="B3" t="s">
        <v>84</v>
      </c>
    </row>
    <row r="4" spans="1:2" x14ac:dyDescent="0.25">
      <c r="A4" s="16" t="s">
        <v>82</v>
      </c>
      <c r="B4" s="17">
        <v>20</v>
      </c>
    </row>
    <row r="5" spans="1:2" x14ac:dyDescent="0.25">
      <c r="A5" s="16" t="s">
        <v>83</v>
      </c>
      <c r="B5" s="17">
        <v>20</v>
      </c>
    </row>
    <row r="17" spans="1:3" x14ac:dyDescent="0.25">
      <c r="A17" s="15" t="s">
        <v>86</v>
      </c>
      <c r="B17" s="15" t="s">
        <v>85</v>
      </c>
    </row>
    <row r="18" spans="1:3" x14ac:dyDescent="0.25">
      <c r="A18" s="15" t="s">
        <v>87</v>
      </c>
      <c r="B18" t="s">
        <v>82</v>
      </c>
      <c r="C18" t="s">
        <v>83</v>
      </c>
    </row>
    <row r="19" spans="1:3" x14ac:dyDescent="0.25">
      <c r="A19" s="16" t="s">
        <v>2</v>
      </c>
      <c r="B19" s="18">
        <v>4</v>
      </c>
      <c r="C19" s="18">
        <v>4</v>
      </c>
    </row>
    <row r="20" spans="1:3" x14ac:dyDescent="0.25">
      <c r="A20" s="16" t="s">
        <v>21</v>
      </c>
      <c r="B20" s="18">
        <v>5</v>
      </c>
      <c r="C20" s="18">
        <v>5</v>
      </c>
    </row>
    <row r="21" spans="1:3" x14ac:dyDescent="0.25">
      <c r="A21" s="16" t="s">
        <v>41</v>
      </c>
      <c r="B21" s="18">
        <v>4</v>
      </c>
      <c r="C21" s="18">
        <v>4</v>
      </c>
    </row>
    <row r="22" spans="1:3" x14ac:dyDescent="0.25">
      <c r="A22" s="16" t="s">
        <v>56</v>
      </c>
      <c r="B22" s="18">
        <v>3</v>
      </c>
      <c r="C22" s="18">
        <v>3</v>
      </c>
    </row>
    <row r="23" spans="1:3" x14ac:dyDescent="0.25">
      <c r="A23" s="16" t="s">
        <v>67</v>
      </c>
      <c r="B23" s="18">
        <v>4</v>
      </c>
      <c r="C23" s="18">
        <v>4</v>
      </c>
    </row>
    <row r="24" spans="1:3" x14ac:dyDescent="0.25">
      <c r="A24" s="16" t="s">
        <v>83</v>
      </c>
      <c r="B24" s="18">
        <v>20</v>
      </c>
      <c r="C24" s="18">
        <v>20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MERL Year 3 Workplan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Benard Muiruri</cp:lastModifiedBy>
  <dcterms:created xsi:type="dcterms:W3CDTF">2025-09-16T12:54:00Z</dcterms:created>
  <dcterms:modified xsi:type="dcterms:W3CDTF">2025-09-16T13:58:40Z</dcterms:modified>
</cp:coreProperties>
</file>