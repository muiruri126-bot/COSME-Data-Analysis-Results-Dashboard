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Bmuiruri.PLANKE-KILIFI\Desktop\Benard\My Project\My work\"/>
    </mc:Choice>
  </mc:AlternateContent>
  <xr:revisionPtr revIDLastSave="0" documentId="8_{90C46291-18E9-4C29-B71A-E4A14DB02777}" xr6:coauthVersionLast="47" xr6:coauthVersionMax="47" xr10:uidLastSave="{00000000-0000-0000-0000-000000000000}"/>
  <bookViews>
    <workbookView xWindow="-120" yWindow="-120" windowWidth="29040" windowHeight="15720" xr2:uid="{A548E446-08EC-4A1C-89B5-84B0CDB9461A}"/>
  </bookViews>
  <sheets>
    <sheet name="Results Wome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516" i="1" l="1"/>
  <c r="F516" i="1"/>
  <c r="O515" i="1"/>
  <c r="F515" i="1"/>
  <c r="O514" i="1"/>
  <c r="F514" i="1"/>
  <c r="O513" i="1"/>
  <c r="F513" i="1"/>
  <c r="O512" i="1"/>
  <c r="F512" i="1"/>
  <c r="O511" i="1"/>
  <c r="F511" i="1"/>
  <c r="O510" i="1"/>
  <c r="F510" i="1"/>
  <c r="O509" i="1"/>
  <c r="F509" i="1"/>
  <c r="O508" i="1"/>
  <c r="F508" i="1"/>
  <c r="O507" i="1"/>
  <c r="F507" i="1"/>
  <c r="O500" i="1"/>
  <c r="F500" i="1"/>
  <c r="O499" i="1"/>
  <c r="F499" i="1"/>
  <c r="O498" i="1"/>
  <c r="F498" i="1"/>
  <c r="O497" i="1"/>
  <c r="F497" i="1"/>
  <c r="O496" i="1"/>
  <c r="F496" i="1"/>
  <c r="O495" i="1"/>
  <c r="F495" i="1"/>
  <c r="O494" i="1"/>
  <c r="F494" i="1"/>
  <c r="O493" i="1"/>
  <c r="F493" i="1"/>
  <c r="O492" i="1"/>
  <c r="F492" i="1"/>
  <c r="O488" i="1"/>
  <c r="F488" i="1"/>
  <c r="O487" i="1"/>
  <c r="F487" i="1"/>
  <c r="O486" i="1"/>
  <c r="F486" i="1"/>
  <c r="O485" i="1"/>
  <c r="F485" i="1"/>
  <c r="O484" i="1"/>
  <c r="F484" i="1"/>
  <c r="O483" i="1"/>
  <c r="F483" i="1"/>
  <c r="O482" i="1"/>
  <c r="F482" i="1"/>
  <c r="O481" i="1"/>
  <c r="F481" i="1"/>
  <c r="O480" i="1"/>
  <c r="F480" i="1"/>
  <c r="O479" i="1"/>
  <c r="F479" i="1"/>
  <c r="O478" i="1"/>
  <c r="F478" i="1"/>
  <c r="O477" i="1"/>
  <c r="F477" i="1"/>
  <c r="F349" i="1"/>
  <c r="F348" i="1"/>
  <c r="F347" i="1"/>
  <c r="F346" i="1"/>
  <c r="F345" i="1"/>
  <c r="F344" i="1"/>
  <c r="F343" i="1"/>
  <c r="F342" i="1"/>
  <c r="F341" i="1"/>
  <c r="F340" i="1"/>
  <c r="F339" i="1"/>
  <c r="T335" i="1"/>
  <c r="S335" i="1"/>
  <c r="T334" i="1"/>
  <c r="S334" i="1"/>
  <c r="F334" i="1"/>
  <c r="T333" i="1"/>
  <c r="S333" i="1"/>
  <c r="F333" i="1"/>
  <c r="T332" i="1"/>
  <c r="S332" i="1"/>
  <c r="F332" i="1"/>
  <c r="T331" i="1"/>
  <c r="S331" i="1"/>
  <c r="F331" i="1"/>
  <c r="T330" i="1"/>
  <c r="S330" i="1"/>
  <c r="F330" i="1"/>
  <c r="T329" i="1"/>
  <c r="S329" i="1"/>
  <c r="F329" i="1"/>
  <c r="T328" i="1"/>
  <c r="S328" i="1"/>
  <c r="F328" i="1"/>
  <c r="T327" i="1"/>
  <c r="S327" i="1"/>
  <c r="F327" i="1"/>
  <c r="T326" i="1"/>
  <c r="S326" i="1"/>
  <c r="F326" i="1"/>
  <c r="T325" i="1"/>
  <c r="S325" i="1"/>
  <c r="F325" i="1"/>
  <c r="F324" i="1"/>
  <c r="T320" i="1"/>
  <c r="S320" i="1"/>
  <c r="T319" i="1"/>
  <c r="S319" i="1"/>
  <c r="F319" i="1"/>
  <c r="T318" i="1"/>
  <c r="S318" i="1"/>
  <c r="F318" i="1"/>
  <c r="T317" i="1"/>
  <c r="S317" i="1"/>
  <c r="F317" i="1"/>
  <c r="T316" i="1"/>
  <c r="S316" i="1"/>
  <c r="F316" i="1"/>
  <c r="T315" i="1"/>
  <c r="S315" i="1"/>
  <c r="F315" i="1"/>
  <c r="T314" i="1"/>
  <c r="S314" i="1"/>
  <c r="F314" i="1"/>
  <c r="T313" i="1"/>
  <c r="S313" i="1"/>
  <c r="F313" i="1"/>
  <c r="T312" i="1"/>
  <c r="S312" i="1"/>
  <c r="F312" i="1"/>
  <c r="T311" i="1"/>
  <c r="S311" i="1"/>
  <c r="F311" i="1"/>
  <c r="T310" i="1"/>
  <c r="S310" i="1"/>
  <c r="F310" i="1"/>
  <c r="F309" i="1"/>
  <c r="D297" i="1"/>
  <c r="C297" i="1"/>
  <c r="D290" i="1"/>
  <c r="C290" i="1"/>
  <c r="D284" i="1"/>
  <c r="C284" i="1"/>
  <c r="D274" i="1"/>
  <c r="C274" i="1"/>
  <c r="T263" i="1"/>
  <c r="S263" i="1"/>
  <c r="T262" i="1"/>
  <c r="S262" i="1"/>
  <c r="F262" i="1"/>
  <c r="T261" i="1"/>
  <c r="S261" i="1"/>
  <c r="F261" i="1"/>
  <c r="T260" i="1"/>
  <c r="S260" i="1"/>
  <c r="F260" i="1"/>
  <c r="T259" i="1"/>
  <c r="S259" i="1"/>
  <c r="F259" i="1"/>
  <c r="T258" i="1"/>
  <c r="S258" i="1"/>
  <c r="F258" i="1"/>
  <c r="T257" i="1"/>
  <c r="S257" i="1"/>
  <c r="F257" i="1"/>
  <c r="T256" i="1"/>
  <c r="S256" i="1"/>
  <c r="F256" i="1"/>
  <c r="T255" i="1"/>
  <c r="S255" i="1"/>
  <c r="F255" i="1"/>
  <c r="T254" i="1"/>
  <c r="S254" i="1"/>
  <c r="F254" i="1"/>
  <c r="F253" i="1"/>
  <c r="T249" i="1"/>
  <c r="S249" i="1"/>
  <c r="T248" i="1"/>
  <c r="S248" i="1"/>
  <c r="F248" i="1"/>
  <c r="T247" i="1"/>
  <c r="S247" i="1"/>
  <c r="F247" i="1"/>
  <c r="T246" i="1"/>
  <c r="S246" i="1"/>
  <c r="F246" i="1"/>
  <c r="T245" i="1"/>
  <c r="S245" i="1"/>
  <c r="F245" i="1"/>
  <c r="T244" i="1"/>
  <c r="S244" i="1"/>
  <c r="F244" i="1"/>
  <c r="T243" i="1"/>
  <c r="S243" i="1"/>
  <c r="F243" i="1"/>
  <c r="T242" i="1"/>
  <c r="S242" i="1"/>
  <c r="F242" i="1"/>
  <c r="T241" i="1"/>
  <c r="S241" i="1"/>
  <c r="F241" i="1"/>
  <c r="T240" i="1"/>
  <c r="S240" i="1"/>
  <c r="F240" i="1"/>
  <c r="F239" i="1"/>
  <c r="I174" i="1"/>
  <c r="H174" i="1"/>
  <c r="I173" i="1"/>
  <c r="H173" i="1"/>
  <c r="I172" i="1"/>
  <c r="H172" i="1"/>
  <c r="I171" i="1"/>
  <c r="H171" i="1"/>
  <c r="I170" i="1"/>
  <c r="H170" i="1"/>
  <c r="I169" i="1"/>
  <c r="H169" i="1"/>
  <c r="I168" i="1"/>
  <c r="H168" i="1"/>
  <c r="I167" i="1"/>
  <c r="H167" i="1"/>
  <c r="I166" i="1"/>
  <c r="H166" i="1"/>
  <c r="I165" i="1"/>
  <c r="H165" i="1"/>
  <c r="I164" i="1"/>
  <c r="H164" i="1"/>
  <c r="I163" i="1"/>
  <c r="H163" i="1"/>
  <c r="T162" i="1"/>
  <c r="S162" i="1"/>
  <c r="I162" i="1"/>
  <c r="H162" i="1"/>
  <c r="T161" i="1"/>
  <c r="S161" i="1"/>
  <c r="I161" i="1"/>
  <c r="H161" i="1"/>
  <c r="T160" i="1"/>
  <c r="S160" i="1"/>
  <c r="I160" i="1"/>
  <c r="H160" i="1"/>
  <c r="T159" i="1"/>
  <c r="S159" i="1"/>
  <c r="I159" i="1"/>
  <c r="H159" i="1"/>
  <c r="T158" i="1"/>
  <c r="S158" i="1"/>
  <c r="I158" i="1"/>
  <c r="H158" i="1"/>
  <c r="T157" i="1"/>
  <c r="S157" i="1"/>
  <c r="I157" i="1"/>
  <c r="H157" i="1"/>
  <c r="T156" i="1"/>
  <c r="S156" i="1"/>
  <c r="I156" i="1"/>
  <c r="H156" i="1"/>
  <c r="T155" i="1"/>
  <c r="S155" i="1"/>
  <c r="I155" i="1"/>
  <c r="H155" i="1"/>
  <c r="T150" i="1"/>
  <c r="S150" i="1"/>
  <c r="Q150" i="1"/>
  <c r="U150" i="1" s="1"/>
  <c r="P150" i="1"/>
  <c r="T149" i="1"/>
  <c r="S149" i="1"/>
  <c r="Q149" i="1"/>
  <c r="U149" i="1" s="1"/>
  <c r="P149" i="1"/>
  <c r="U148" i="1"/>
  <c r="T148" i="1"/>
  <c r="S148" i="1"/>
  <c r="Q148" i="1"/>
  <c r="P148" i="1"/>
  <c r="T147" i="1"/>
  <c r="S147" i="1"/>
  <c r="Q147" i="1"/>
  <c r="U147" i="1" s="1"/>
  <c r="P147" i="1"/>
  <c r="T146" i="1"/>
  <c r="S146" i="1"/>
  <c r="Q146" i="1"/>
  <c r="U146" i="1" s="1"/>
  <c r="P146" i="1"/>
  <c r="T145" i="1"/>
  <c r="S145" i="1"/>
  <c r="Q145" i="1"/>
  <c r="U145" i="1" s="1"/>
  <c r="P145" i="1"/>
  <c r="T144" i="1"/>
  <c r="S144" i="1"/>
  <c r="Q144" i="1"/>
  <c r="U144" i="1" s="1"/>
  <c r="P144" i="1"/>
  <c r="T143" i="1"/>
  <c r="S143" i="1"/>
  <c r="Q143" i="1"/>
  <c r="U143" i="1" s="1"/>
  <c r="P143" i="1"/>
  <c r="U142" i="1"/>
  <c r="T142" i="1"/>
  <c r="S142" i="1"/>
  <c r="Q142" i="1"/>
  <c r="P142" i="1"/>
  <c r="T141" i="1"/>
  <c r="S141" i="1"/>
  <c r="Q141" i="1"/>
  <c r="U141" i="1" s="1"/>
  <c r="P141" i="1"/>
  <c r="T140" i="1"/>
  <c r="S140" i="1"/>
  <c r="Q140" i="1"/>
  <c r="P140" i="1"/>
  <c r="U140" i="1" s="1"/>
  <c r="U139" i="1"/>
  <c r="T139" i="1"/>
  <c r="S139" i="1"/>
  <c r="Q139" i="1"/>
  <c r="P139" i="1"/>
  <c r="T138" i="1"/>
  <c r="S138" i="1"/>
  <c r="Q138" i="1"/>
  <c r="U138" i="1" s="1"/>
  <c r="P138" i="1"/>
  <c r="T137" i="1"/>
  <c r="S137" i="1"/>
  <c r="Q137" i="1"/>
  <c r="P137" i="1"/>
  <c r="U137" i="1" s="1"/>
  <c r="T136" i="1"/>
  <c r="S136" i="1"/>
  <c r="Q136" i="1"/>
  <c r="P136" i="1"/>
  <c r="U136" i="1" s="1"/>
  <c r="T135" i="1"/>
  <c r="S135" i="1"/>
  <c r="Q135" i="1"/>
  <c r="P135" i="1"/>
  <c r="U135" i="1" s="1"/>
  <c r="U134" i="1"/>
  <c r="T134" i="1"/>
  <c r="S134" i="1"/>
  <c r="Q134" i="1"/>
  <c r="P134" i="1"/>
  <c r="T133" i="1"/>
  <c r="S133" i="1"/>
  <c r="Q133" i="1"/>
  <c r="U133" i="1" s="1"/>
  <c r="P133" i="1"/>
  <c r="T132" i="1"/>
  <c r="S132" i="1"/>
  <c r="Q132" i="1"/>
  <c r="P132" i="1"/>
  <c r="U132" i="1" s="1"/>
  <c r="U131" i="1"/>
  <c r="T131" i="1"/>
  <c r="S131" i="1"/>
  <c r="Q131" i="1"/>
  <c r="P131" i="1"/>
</calcChain>
</file>

<file path=xl/sharedStrings.xml><?xml version="1.0" encoding="utf-8"?>
<sst xmlns="http://schemas.openxmlformats.org/spreadsheetml/2006/main" count="894" uniqueCount="406">
  <si>
    <t>Women Survey</t>
  </si>
  <si>
    <t>COSME</t>
  </si>
  <si>
    <t>A. HOUSEHOLD CHARACTERISTICS</t>
  </si>
  <si>
    <t>Percentage of women by type of location/intervention</t>
  </si>
  <si>
    <t>Percentage of women by type of household</t>
  </si>
  <si>
    <t>Baseline</t>
  </si>
  <si>
    <t>Midline</t>
  </si>
  <si>
    <t>Marine</t>
  </si>
  <si>
    <t>Female</t>
  </si>
  <si>
    <t>Terrestrial</t>
  </si>
  <si>
    <t>Male</t>
  </si>
  <si>
    <t>Percentage of women by marital status</t>
  </si>
  <si>
    <t>Percentage of women by highest educational level achieved</t>
  </si>
  <si>
    <t>Monogamously married</t>
  </si>
  <si>
    <t>Primary</t>
  </si>
  <si>
    <t>Widowed</t>
  </si>
  <si>
    <t>Pre-primary, none, or other</t>
  </si>
  <si>
    <t>Polygamously married</t>
  </si>
  <si>
    <t>Secondary or post-primary, vocational</t>
  </si>
  <si>
    <t>Separated</t>
  </si>
  <si>
    <t>College level or higher</t>
  </si>
  <si>
    <t>Single</t>
  </si>
  <si>
    <t>Legally Divorced</t>
  </si>
  <si>
    <t>No Answer</t>
  </si>
  <si>
    <t>Percentage of women by main HH economic activity</t>
  </si>
  <si>
    <t>Percentage of women by secondary HH economic activities</t>
  </si>
  <si>
    <t>Agiculture</t>
  </si>
  <si>
    <t>Agriculture</t>
  </si>
  <si>
    <t>Small Business</t>
  </si>
  <si>
    <t>Casual Labour</t>
  </si>
  <si>
    <t>Capture fisheries (fish, shellfish, other)</t>
  </si>
  <si>
    <t>Seaweed Farming</t>
  </si>
  <si>
    <t>Private Sector Wage/Salary</t>
  </si>
  <si>
    <t>Forestry</t>
  </si>
  <si>
    <t>Government Wage/Salary</t>
  </si>
  <si>
    <t>Other</t>
  </si>
  <si>
    <t>Nurseries</t>
  </si>
  <si>
    <t>Culture fisheries (farmed fish, prawns, crabs, or shellfish)</t>
  </si>
  <si>
    <t>Homemaker</t>
  </si>
  <si>
    <t>Animal Breeding</t>
  </si>
  <si>
    <t>Transfers and Social Assistance</t>
  </si>
  <si>
    <t>Percentage of women with drinking water in HH</t>
  </si>
  <si>
    <t>Percentage of women with toilet facility in HH</t>
  </si>
  <si>
    <t>(Piped to a household water connection, public taps or standpipes, tube wells or boreholes, protected dug wells, protected springs or rainwater collection)</t>
  </si>
  <si>
    <t>.</t>
  </si>
  <si>
    <t>(Flush, a VIP latrine, a pit latrine with slab, or a composting toilet)</t>
  </si>
  <si>
    <t>Yes</t>
  </si>
  <si>
    <t>No</t>
  </si>
  <si>
    <t>Percentage of women with electricity in HH</t>
  </si>
  <si>
    <t>Percentage of women by wall material of the main dwelling unit</t>
  </si>
  <si>
    <t>Percentage of women by floor material of the main dwelling unit</t>
  </si>
  <si>
    <t>Natural walls (cane/palm/trunks, grass/reeds, or mud/cow dung), no walls, bamboo with mud, stone with mud, or other</t>
  </si>
  <si>
    <t>Natural floor (earth/sand or dung) or palm/bamboo</t>
  </si>
  <si>
    <t>Finished walls (cement, stone with lime/cement, bricks, cement blocks, covered adobe, or wood planks/shingles)</t>
  </si>
  <si>
    <t>Other (including wood planks/shingles, parquet or polished wood, vinyl or asphalt strips, ceramic tiles, cement, or carpet)</t>
  </si>
  <si>
    <t>Uncovered adobe, plywood, cardboard, reused wood, or corrugated iron sheets</t>
  </si>
  <si>
    <t>B. SHOCKS AND STRESSES</t>
  </si>
  <si>
    <t>Percentage of women  stating their HH experienced shocks/disasters in the past 12 months</t>
  </si>
  <si>
    <t>Extent to which the shock(s)affected the wellbeing of HH as perceived by women</t>
  </si>
  <si>
    <t>Drought</t>
  </si>
  <si>
    <t>To a very large extent</t>
  </si>
  <si>
    <t>None</t>
  </si>
  <si>
    <t>To a large extent</t>
  </si>
  <si>
    <t>Heat/cold waves</t>
  </si>
  <si>
    <t>To a moderate extent</t>
  </si>
  <si>
    <t>Flooding</t>
  </si>
  <si>
    <t>To a small extent</t>
  </si>
  <si>
    <t>Climate variability</t>
  </si>
  <si>
    <t>To a very small extent</t>
  </si>
  <si>
    <t>Typhoons/hurricanes/cyclones</t>
  </si>
  <si>
    <t>Not at all</t>
  </si>
  <si>
    <t>Wildfires (naturally occurring)</t>
  </si>
  <si>
    <t>Severe thunderstorms</t>
  </si>
  <si>
    <t>Land degradation</t>
  </si>
  <si>
    <t>Tornadoes</t>
  </si>
  <si>
    <t>Landslides</t>
  </si>
  <si>
    <t xml:space="preserve"> Percentage of women by strategies used to cope with its effects of shocks/disasters</t>
  </si>
  <si>
    <t>Skipped meals</t>
  </si>
  <si>
    <t>Took a Loan</t>
  </si>
  <si>
    <t>Sold small livestock (sheep, goats, pigs, poultry)</t>
  </si>
  <si>
    <t>Engaged in wage labour</t>
  </si>
  <si>
    <t>Used Savings</t>
  </si>
  <si>
    <t>Replaced preferred by less preffered food</t>
  </si>
  <si>
    <t>Engaged in additional livelihood activities</t>
  </si>
  <si>
    <t>Sold large livestock (cattle, donkeys)</t>
  </si>
  <si>
    <t>Sold Housheold Assets</t>
  </si>
  <si>
    <t>No Strategies</t>
  </si>
  <si>
    <t>Received informal transfers from family, friend and community members (cash, remittances, food or grain gift, seed gift, free use of animals, etc.) gift, seed gift, free use of animals, etc.)"(if selected please complete Question 5)</t>
  </si>
  <si>
    <t>Received formal transfers from Government and NGOs (relief food, cash assistance, livestock,s afety net programs, pension schemes, etc.) safety net programs, pension schemes, etc.)" (if selected please complete Question 4)</t>
  </si>
  <si>
    <t>Reduced caloric intake</t>
  </si>
  <si>
    <t>C. ACCESS TO PREPAREDNESS INFORMATION</t>
  </si>
  <si>
    <t xml:space="preserve"> Percentage of women as per their knowledge of the existence of disaster preparedness plans in their communities</t>
  </si>
  <si>
    <t xml:space="preserve"> Percentage of women participating in the development of disaster preparedness plans in their communities</t>
  </si>
  <si>
    <t>Yes, I did</t>
  </si>
  <si>
    <t>Yes, someone in my household besides me does</t>
  </si>
  <si>
    <t>I don't know</t>
  </si>
  <si>
    <t>Not Applicable</t>
  </si>
  <si>
    <t>Percentage of women aware of the actions within the disaster preparedness plans</t>
  </si>
  <si>
    <t>Percentage of women that know what to do in case of a disaster/emergency</t>
  </si>
  <si>
    <t>Partially</t>
  </si>
  <si>
    <t>Percentage of women with access to timely weather forecasts</t>
  </si>
  <si>
    <t>Percentage of women with access to timely tidal forecasts</t>
  </si>
  <si>
    <t>Yes, I do</t>
  </si>
  <si>
    <t>Percentage of women with access to early warning information</t>
  </si>
  <si>
    <t>D. ACCESS AND CONTROL OVER RESOURCES</t>
  </si>
  <si>
    <t>Percentage of women with assets in their HH</t>
  </si>
  <si>
    <t>Percentage of women who own assets</t>
  </si>
  <si>
    <t>Yes, Jointly</t>
  </si>
  <si>
    <t>Yes, Solely</t>
  </si>
  <si>
    <t>Yes, All</t>
  </si>
  <si>
    <t>small_livestock_sheep_goats_pigs_pou</t>
  </si>
  <si>
    <t>Jointly M-B</t>
  </si>
  <si>
    <t>Solely M-B</t>
  </si>
  <si>
    <t>All M-B</t>
  </si>
  <si>
    <t>fishing_gear</t>
  </si>
  <si>
    <t>boat_engine</t>
  </si>
  <si>
    <t>household_furniture_table_chairs</t>
  </si>
  <si>
    <t>television</t>
  </si>
  <si>
    <t>land_plot</t>
  </si>
  <si>
    <t>boat</t>
  </si>
  <si>
    <t>solar_panels</t>
  </si>
  <si>
    <t>jerry_cans_water_collection_jugs</t>
  </si>
  <si>
    <t>large_livestock_cattle_donkeys-</t>
  </si>
  <si>
    <t>mechanized_farm_equipment_tractor_ploug-</t>
  </si>
  <si>
    <t>house_or_building</t>
  </si>
  <si>
    <t>non_mechanized_farm_equipment_hand_tool-</t>
  </si>
  <si>
    <t xml:space="preserve"> fuel_efficient_cooking_stoves-</t>
  </si>
  <si>
    <t>bed-</t>
  </si>
  <si>
    <t>motorcycle</t>
  </si>
  <si>
    <t>fridge</t>
  </si>
  <si>
    <t>gas_electric_cooker</t>
  </si>
  <si>
    <t>cellphone-</t>
  </si>
  <si>
    <t>bicycle-</t>
  </si>
  <si>
    <t>Percentage of women that state they can use or sell HH assets</t>
  </si>
  <si>
    <t>Percentage of women that state inputs are available in their HH and they can use them</t>
  </si>
  <si>
    <t>Use the Asset</t>
  </si>
  <si>
    <t>Sell the Asset</t>
  </si>
  <si>
    <t>HH Access to Inputs</t>
  </si>
  <si>
    <t>Personal Use</t>
  </si>
  <si>
    <t>Use M-B</t>
  </si>
  <si>
    <t>Sell M-B</t>
  </si>
  <si>
    <t>Access M-B</t>
  </si>
  <si>
    <t>Personal M-B</t>
  </si>
  <si>
    <t xml:space="preserve">veterinary_drugs-				 					 					 					 					 			</t>
  </si>
  <si>
    <t xml:space="preserve">commercial_fertilizers					 					 					 					 					 					</t>
  </si>
  <si>
    <t xml:space="preserve">animal_feed				 					</t>
  </si>
  <si>
    <t xml:space="preserve">seeds			 					</t>
  </si>
  <si>
    <t xml:space="preserve">pesticide_herbicides				 					 					 					 					 					</t>
  </si>
  <si>
    <t xml:space="preserve">fingerlings_juvenile_fish-				 					</t>
  </si>
  <si>
    <t xml:space="preserve">fish_feed				 					 					 					 					 					</t>
  </si>
  <si>
    <t xml:space="preserve">natural_organic_fertlizers-				 					 					 					 					 					</t>
  </si>
  <si>
    <t>Percentage of women by size of HH agricultural land (hectares)</t>
  </si>
  <si>
    <t>Percentage of women by status of agricultural land</t>
  </si>
  <si>
    <t xml:space="preserve">Owned     </t>
  </si>
  <si>
    <t xml:space="preserve">Leased     </t>
  </si>
  <si>
    <t xml:space="preserve">Both, owned and leased     </t>
  </si>
  <si>
    <t>3 to 5</t>
  </si>
  <si>
    <t>6 to 10</t>
  </si>
  <si>
    <t>11 or more</t>
  </si>
  <si>
    <t>Percentage of women in HH currently using land for agricultural purposes</t>
  </si>
  <si>
    <t>E. SAVINGS AND LOANS</t>
  </si>
  <si>
    <t>Percentage of women with family members (besides them) saving</t>
  </si>
  <si>
    <t>Percentage of women personally saving</t>
  </si>
  <si>
    <t>Percentage of women saving by frequency of savings</t>
  </si>
  <si>
    <t>Percentage of women saving by amount saved (by stated frequency)</t>
  </si>
  <si>
    <t>Daily</t>
  </si>
  <si>
    <t>0-100 KES</t>
  </si>
  <si>
    <t>Weekly</t>
  </si>
  <si>
    <t>101-500 KES</t>
  </si>
  <si>
    <t>Monthly</t>
  </si>
  <si>
    <t>501-1000 KES</t>
  </si>
  <si>
    <t>Every three months or more</t>
  </si>
  <si>
    <t>Above 1000 KES</t>
  </si>
  <si>
    <t>Varies</t>
  </si>
  <si>
    <t>Percentage of women saving by saving mechanism</t>
  </si>
  <si>
    <t>Percentage of women saving by total savings balance</t>
  </si>
  <si>
    <t>At Home</t>
  </si>
  <si>
    <t>Bank / Financial Institution Account</t>
  </si>
  <si>
    <t>Informal Community Lender</t>
  </si>
  <si>
    <t>Informal Savings Group</t>
  </si>
  <si>
    <t>MPESA</t>
  </si>
  <si>
    <t>VSLA</t>
  </si>
  <si>
    <t>Percentage of women saving by intended use of savings</t>
  </si>
  <si>
    <t>Percentage of women with family members (besides them) taking a loan</t>
  </si>
  <si>
    <t>Pay Debts</t>
  </si>
  <si>
    <t>Purchase Food</t>
  </si>
  <si>
    <t>Education Children</t>
  </si>
  <si>
    <t>Purchase Small Household Assets (e.g. cellphone, kettle, dishes etc.)</t>
  </si>
  <si>
    <t>Purchase Large Household Assets (e.g. Matress, bicycle, plough etc.)</t>
  </si>
  <si>
    <t>Average Loan Size(KES)</t>
  </si>
  <si>
    <t>Invest in Agriculture or Fishing Activity</t>
  </si>
  <si>
    <t>Invest in Productive Business</t>
  </si>
  <si>
    <t>Percentage of women personally taking a loan</t>
  </si>
  <si>
    <t>Percentage of women by place were loan was taken</t>
  </si>
  <si>
    <t>Bank / Financial Institution</t>
  </si>
  <si>
    <t>Informal credit / savings group</t>
  </si>
  <si>
    <t>F. ROLES, RESPONSABILITIES AND TIME POVERTY</t>
  </si>
  <si>
    <r>
      <t>Percentage  of women  stating roles and responsabilities should be</t>
    </r>
    <r>
      <rPr>
        <b/>
        <i/>
        <u/>
        <sz val="11"/>
        <color theme="1"/>
        <rFont val="Calibri"/>
        <family val="2"/>
        <scheme val="minor"/>
      </rPr>
      <t xml:space="preserve"> 'Joint, both men and women'</t>
    </r>
  </si>
  <si>
    <r>
      <t xml:space="preserve">Percentage  of women  stating roles and responsabilities should be for </t>
    </r>
    <r>
      <rPr>
        <b/>
        <i/>
        <u/>
        <sz val="11"/>
        <color theme="1"/>
        <rFont val="Calibri"/>
        <family val="2"/>
        <scheme val="minor"/>
      </rPr>
      <t>'Men'</t>
    </r>
    <r>
      <rPr>
        <b/>
        <i/>
        <sz val="11"/>
        <color theme="1"/>
        <rFont val="Calibri"/>
        <family val="2"/>
        <scheme val="minor"/>
      </rPr>
      <t xml:space="preserve"> or </t>
    </r>
    <r>
      <rPr>
        <b/>
        <i/>
        <u/>
        <sz val="11"/>
        <color theme="1"/>
        <rFont val="Calibri"/>
        <family val="2"/>
        <scheme val="minor"/>
      </rPr>
      <t>'Women'</t>
    </r>
  </si>
  <si>
    <t>M-B</t>
  </si>
  <si>
    <t>Women</t>
  </si>
  <si>
    <t>Men</t>
  </si>
  <si>
    <t xml:space="preserve">fetch_firewood			</t>
  </si>
  <si>
    <t>W_M-B</t>
  </si>
  <si>
    <t>M_M-B</t>
  </si>
  <si>
    <t xml:space="preserve">Be the main income provider/buy food for the household																			</t>
  </si>
  <si>
    <t>fetch_firewood							 																												 																												 																												 																												&lt;/span&gt;</t>
  </si>
  <si>
    <t xml:space="preserve">Clean/ sweep the house																			</t>
  </si>
  <si>
    <t xml:space="preserve">Look after Livestock																			</t>
  </si>
  <si>
    <t xml:space="preserve">Look after ill/elderly /disabled family members at home																			</t>
  </si>
  <si>
    <t xml:space="preserve">Maintain a family Garden																			</t>
  </si>
  <si>
    <t xml:space="preserve">Prepare and cook food for the household																			</t>
  </si>
  <si>
    <t xml:space="preserve">Care for children (under 10 years)																			</t>
  </si>
  <si>
    <t xml:space="preserve">Fetch water																			</t>
  </si>
  <si>
    <t xml:space="preserve">Wash clothes																			</t>
  </si>
  <si>
    <r>
      <t xml:space="preserve">Percentage of women experiencing  </t>
    </r>
    <r>
      <rPr>
        <b/>
        <i/>
        <u/>
        <sz val="11"/>
        <color theme="1"/>
        <rFont val="Calibri"/>
        <family val="2"/>
        <scheme val="minor"/>
      </rPr>
      <t xml:space="preserve">'Joint, both men and women' </t>
    </r>
    <r>
      <rPr>
        <b/>
        <i/>
        <sz val="11"/>
        <color theme="1"/>
        <rFont val="Calibri"/>
        <family val="2"/>
        <scheme val="minor"/>
      </rPr>
      <t xml:space="preserve"> responsabilities in their HH</t>
    </r>
  </si>
  <si>
    <r>
      <t xml:space="preserve">Percentage of women experiencing </t>
    </r>
    <r>
      <rPr>
        <b/>
        <i/>
        <u/>
        <sz val="11"/>
        <color theme="1"/>
        <rFont val="Calibri"/>
        <family val="2"/>
        <scheme val="minor"/>
      </rPr>
      <t>Self or Spouse only</t>
    </r>
    <r>
      <rPr>
        <b/>
        <i/>
        <sz val="11"/>
        <color theme="1"/>
        <rFont val="Calibri"/>
        <family val="2"/>
        <scheme val="minor"/>
      </rPr>
      <t xml:space="preserve"> responsabilities in their HH</t>
    </r>
  </si>
  <si>
    <t>Women (Myself)</t>
  </si>
  <si>
    <t>Men (My Spouse)</t>
  </si>
  <si>
    <t>fetch_firewood</t>
  </si>
  <si>
    <t>Average hours spent by women carrying  out HH activities in the past 24 hours</t>
  </si>
  <si>
    <t>ALL</t>
  </si>
  <si>
    <t>INVOLVED</t>
  </si>
  <si>
    <t>Percentage of women carrying out HH activities</t>
  </si>
  <si>
    <t>Unpaid Care Work</t>
  </si>
  <si>
    <t xml:space="preserve">Caring for children, ill or elderly family members																										</t>
  </si>
  <si>
    <t xml:space="preserve">Preparing food and drinks, cooking, doing the dishes																										</t>
  </si>
  <si>
    <t xml:space="preserve">Cleaning the house, washing and drying clothes, ironing																										</t>
  </si>
  <si>
    <t xml:space="preserve">Fetching water																										</t>
  </si>
  <si>
    <t xml:space="preserve">Fetching firewood																										</t>
  </si>
  <si>
    <t>Productive Work</t>
  </si>
  <si>
    <t xml:space="preserve">Farming and agricultural activity for someone else / casual labour (staple grain farming, horticulture gardening, high value crop farming)																										</t>
  </si>
  <si>
    <t xml:space="preserve">Farming and agricultural activity for own benefit (staple grain farming, horticulture gardening, high value crop farming)																										</t>
  </si>
  <si>
    <t xml:space="preserve">Fishing																										</t>
  </si>
  <si>
    <t xml:space="preserve">Seaweed farming																										</t>
  </si>
  <si>
    <t xml:space="preserve">Tending livestock, caring for animals																										</t>
  </si>
  <si>
    <t xml:space="preserve">Selling products at the market (working in own business)																										</t>
  </si>
  <si>
    <t xml:space="preserve">Work in formal employment																										</t>
  </si>
  <si>
    <t>Community Conservation Work</t>
  </si>
  <si>
    <t xml:space="preserve">Mangrove Restoration																										</t>
  </si>
  <si>
    <t xml:space="preserve">Forest Management and Conservation																										</t>
  </si>
  <si>
    <t>Personal Development</t>
  </si>
  <si>
    <t xml:space="preserve">Attending school, training or studying																										</t>
  </si>
  <si>
    <t>Personal Care</t>
  </si>
  <si>
    <t xml:space="preserve"> Personal care (eating, bathing, resting)																										</t>
  </si>
  <si>
    <t xml:space="preserve">Sleeping, napping																										</t>
  </si>
  <si>
    <t>Leisure</t>
  </si>
  <si>
    <t xml:space="preserve"> Social or religious activity (visiting relatives, neighbors or friends, attending weddings or funerals, going to church or mosque, attending community groups)																										</t>
  </si>
  <si>
    <t xml:space="preserve">Other																									</t>
  </si>
  <si>
    <t xml:space="preserve">Personal care (eating, bathing, resting)																										</t>
  </si>
  <si>
    <t>G. DECISION MAKING</t>
  </si>
  <si>
    <r>
      <t>Percentage  of women  stating decision making should be</t>
    </r>
    <r>
      <rPr>
        <b/>
        <i/>
        <u/>
        <sz val="11"/>
        <color theme="1"/>
        <rFont val="Calibri"/>
        <family val="2"/>
        <scheme val="minor"/>
      </rPr>
      <t xml:space="preserve"> 'Joint, both men and women'</t>
    </r>
  </si>
  <si>
    <r>
      <t xml:space="preserve">Percentage  of women  stating decision making should be for </t>
    </r>
    <r>
      <rPr>
        <b/>
        <i/>
        <u/>
        <sz val="11"/>
        <color theme="1"/>
        <rFont val="Calibri"/>
        <family val="2"/>
        <scheme val="minor"/>
      </rPr>
      <t>'Men'</t>
    </r>
    <r>
      <rPr>
        <b/>
        <i/>
        <sz val="11"/>
        <color theme="1"/>
        <rFont val="Calibri"/>
        <family val="2"/>
        <scheme val="minor"/>
      </rPr>
      <t xml:space="preserve"> or </t>
    </r>
    <r>
      <rPr>
        <b/>
        <i/>
        <u/>
        <sz val="11"/>
        <color theme="1"/>
        <rFont val="Calibri"/>
        <family val="2"/>
        <scheme val="minor"/>
      </rPr>
      <t>'Women'</t>
    </r>
  </si>
  <si>
    <t xml:space="preserve">Routine household purchases (food for daily consumption or other household needs)																			</t>
  </si>
  <si>
    <t xml:space="preserve">If women should go to work on the farm. 																			</t>
  </si>
  <si>
    <t xml:space="preserve">How to use money made from the main household income-generating activities 																			</t>
  </si>
  <si>
    <t xml:space="preserve">If women should go to the market.																			</t>
  </si>
  <si>
    <t xml:space="preserve">If women should go for routine work at the mangrove/seaweed/forest nursery.																			</t>
  </si>
  <si>
    <t xml:space="preserve">Using household savings																			</t>
  </si>
  <si>
    <t xml:space="preserve">How to invest money borrowed or saved																			</t>
  </si>
  <si>
    <t xml:space="preserve">Education of children and adolescents																			</t>
  </si>
  <si>
    <t xml:space="preserve">Large household purchases (land, vehicle, appliances) 																			</t>
  </si>
  <si>
    <t xml:space="preserve">Starting a small business or self-employment																			</t>
  </si>
  <si>
    <t xml:space="preserve">Whether the household should take out a loan, from what source, and how much to borrow																			</t>
  </si>
  <si>
    <r>
      <t xml:space="preserve">Percentage of women experiencing  </t>
    </r>
    <r>
      <rPr>
        <b/>
        <i/>
        <u/>
        <sz val="11"/>
        <color theme="1"/>
        <rFont val="Calibri"/>
        <family val="2"/>
        <scheme val="minor"/>
      </rPr>
      <t xml:space="preserve">'Joint, both men and women' </t>
    </r>
    <r>
      <rPr>
        <b/>
        <i/>
        <sz val="11"/>
        <color theme="1"/>
        <rFont val="Calibri"/>
        <family val="2"/>
        <scheme val="minor"/>
      </rPr>
      <t xml:space="preserve"> decision making in their HH</t>
    </r>
  </si>
  <si>
    <r>
      <t xml:space="preserve">Percentage of women experiencing </t>
    </r>
    <r>
      <rPr>
        <b/>
        <i/>
        <u/>
        <sz val="11"/>
        <color theme="1"/>
        <rFont val="Calibri"/>
        <family val="2"/>
        <scheme val="minor"/>
      </rPr>
      <t>Self or Spouse only</t>
    </r>
    <r>
      <rPr>
        <b/>
        <i/>
        <sz val="11"/>
        <color theme="1"/>
        <rFont val="Calibri"/>
        <family val="2"/>
        <scheme val="minor"/>
      </rPr>
      <t xml:space="preserve"> decision making in their HH</t>
    </r>
  </si>
  <si>
    <r>
      <t xml:space="preserve">Percentage of women stating they can influence HH decisions </t>
    </r>
    <r>
      <rPr>
        <b/>
        <i/>
        <u/>
        <sz val="11"/>
        <color theme="1"/>
        <rFont val="Calibri"/>
        <family val="2"/>
        <scheme val="minor"/>
      </rPr>
      <t>'to a large extent'</t>
    </r>
  </si>
  <si>
    <t>H. KNOWLEDGE ECONOMIC RIGHTS AND NBS</t>
  </si>
  <si>
    <t>Percentage of women that have heard of climate change</t>
  </si>
  <si>
    <t>Percentage of women stating the effects of Climate Change on their livelihoods/wellbeing</t>
  </si>
  <si>
    <t>Increased Food Insecurity</t>
  </si>
  <si>
    <t>Increased Water Insecurity</t>
  </si>
  <si>
    <t>Personal risk from extreme events</t>
  </si>
  <si>
    <t>Percentage of women who adequately define Climate Change</t>
  </si>
  <si>
    <t>Forced migration due to natural disasters</t>
  </si>
  <si>
    <t>Changes in livelihood activities</t>
  </si>
  <si>
    <t>Completely Acceptable</t>
  </si>
  <si>
    <t>Reduced livelihood activities</t>
  </si>
  <si>
    <t>Somewhat Acceptable</t>
  </si>
  <si>
    <t>Extreme weather events impacting on key infrastructure</t>
  </si>
  <si>
    <t>Not Acceptable</t>
  </si>
  <si>
    <t>Reduced agricultural productivity</t>
  </si>
  <si>
    <t>Does not Know/Answer</t>
  </si>
  <si>
    <t>Crop Loss</t>
  </si>
  <si>
    <t>Loss of Livestock</t>
  </si>
  <si>
    <t xml:space="preserve">Percentage of women stating the effects of Climate Change on their environment </t>
  </si>
  <si>
    <t>Reduced Livestock Productivity</t>
  </si>
  <si>
    <t>Loss of household savings and assets</t>
  </si>
  <si>
    <t>Hotter Temperatures</t>
  </si>
  <si>
    <t>I do not Know</t>
  </si>
  <si>
    <t>More extreme weather events (e.g. soil erosion, floods, droughts and storms)</t>
  </si>
  <si>
    <t>Increased Drought</t>
  </si>
  <si>
    <t>Percentage of women who adequately define NbS</t>
  </si>
  <si>
    <t>Warming of oceans and other water bodies</t>
  </si>
  <si>
    <t>Sea level rise</t>
  </si>
  <si>
    <t>Loss of Species</t>
  </si>
  <si>
    <t>Migration of Species</t>
  </si>
  <si>
    <t>Changes in Animals migration patterns</t>
  </si>
  <si>
    <t>Spread of disease and toxic algal blooms</t>
  </si>
  <si>
    <t>Ocean acidification affecting coral reefs, estuaries and other coastal resources, with changes in associated ecosystems and fisheries</t>
  </si>
  <si>
    <t>Percentage of women stating benefits of using NbS solutions</t>
  </si>
  <si>
    <t>Increased risk of species invasions and spread of vector-borne diseases</t>
  </si>
  <si>
    <t>I do not know</t>
  </si>
  <si>
    <t>Carbon capture</t>
  </si>
  <si>
    <t>Reduce storm surges and coastal flooding from sea level rise</t>
  </si>
  <si>
    <t>Percentage of women that have heard of NbS</t>
  </si>
  <si>
    <t>Defense against salination resulting from sea water intrusion</t>
  </si>
  <si>
    <t>Improve local air quality</t>
  </si>
  <si>
    <t>Promote water conservation and management</t>
  </si>
  <si>
    <t xml:space="preserve">No </t>
  </si>
  <si>
    <t>Enhance soil health and fertility</t>
  </si>
  <si>
    <t>Support pollinators and biodiversity</t>
  </si>
  <si>
    <t>Percentage of women providing examples of NbS</t>
  </si>
  <si>
    <t>Improve local biodiversity and ecosystems</t>
  </si>
  <si>
    <t>Improve fish diversity and quantity</t>
  </si>
  <si>
    <t>Mangrove Restoration</t>
  </si>
  <si>
    <t>Improve seawater quality and clarity</t>
  </si>
  <si>
    <t>Coral Reef Restoration</t>
  </si>
  <si>
    <t>Improved and diversified livelihoods, health and well being of communities</t>
  </si>
  <si>
    <t>Reforestation, prevention of deforestation and degradation</t>
  </si>
  <si>
    <t>Sustainable Seaweed Farming</t>
  </si>
  <si>
    <t>I do not Know3</t>
  </si>
  <si>
    <t>Rainwater harvesting and management</t>
  </si>
  <si>
    <t>Sustainable agriculture practices (e.g., agroforestry, regenerative agriculture)</t>
  </si>
  <si>
    <t>Solar energy</t>
  </si>
  <si>
    <t>Rainwater harvesting and management2</t>
  </si>
  <si>
    <t>H1. MANGOVE RESTORATION</t>
  </si>
  <si>
    <t>Percentage of women that have heard of mangrove restoration and its importance to coastal ecosystems</t>
  </si>
  <si>
    <t>Percentage of women that have ever actively participated in mangrove restoration</t>
  </si>
  <si>
    <t>Yes, I have heard of mangrove restoration and its importance to coastal ecosystems</t>
  </si>
  <si>
    <t>Yes, I have heard of mangrove restoration only</t>
  </si>
  <si>
    <t xml:space="preserve">No, I have not </t>
  </si>
  <si>
    <t>Percentage of women as per the modality for mangrove restoration</t>
  </si>
  <si>
    <t>Percentage of women that are  currently involved in mangrove restoration</t>
  </si>
  <si>
    <t>Individually</t>
  </si>
  <si>
    <t>As a group</t>
  </si>
  <si>
    <t>As a family</t>
  </si>
  <si>
    <t>Percentage of women that have received any assets or inputs from external sources to undertake magrove restoration</t>
  </si>
  <si>
    <t>Percentage of women that have received any training or information related to mangrove restoration</t>
  </si>
  <si>
    <t xml:space="preserve">Percentage of women that are interested in participating (continue participating) in mangrove restoration </t>
  </si>
  <si>
    <t>Yes, definitely</t>
  </si>
  <si>
    <t>Yes, maybe</t>
  </si>
  <si>
    <t>No, not really</t>
  </si>
  <si>
    <t>H2. SEAWEED FARMING</t>
  </si>
  <si>
    <t>Percentage of women that have heard of seaweed farming</t>
  </si>
  <si>
    <t>Percentage of women that have ever actively participated in seaweed farming</t>
  </si>
  <si>
    <t>Yes, I have heard of sustainable seaweed farming, its economic benefits and its importance to coastal ecosystems</t>
  </si>
  <si>
    <t>Yes, I have heard of sustainable seaweed farming only</t>
  </si>
  <si>
    <t xml:space="preserve">I do not know </t>
  </si>
  <si>
    <t>Percentage of women that are  currently involved in seaweed farming</t>
  </si>
  <si>
    <t>Percentage of women as per the modality for seaweed farming</t>
  </si>
  <si>
    <t>Percentage of women that have received any training or information related to seaweed farming</t>
  </si>
  <si>
    <t>Percentage of women that have received any assets or inputs from external sources to undertake seaweed farming</t>
  </si>
  <si>
    <t>Percentage of women that are interested in participating (continue participating) in seaweed farming</t>
  </si>
  <si>
    <t>H3. FOREST MANAGEMENT</t>
  </si>
  <si>
    <t>Percentage of women that have heard of forest management and conservation</t>
  </si>
  <si>
    <t>Percentage of women that have ever actively participated in forest management and conservation</t>
  </si>
  <si>
    <t>Yes, I have heard of forest management and conservation</t>
  </si>
  <si>
    <t>Percentage of women that are  currently involved in forest management and conservation</t>
  </si>
  <si>
    <t>Percentage of women as per the modality for forest management and conservation</t>
  </si>
  <si>
    <t>Percentage of women that have received any training or information related to forest management and conservation</t>
  </si>
  <si>
    <t>Percentage of women that have received any assets or inputs from external sources to undertake forest management and conservation</t>
  </si>
  <si>
    <t>I. LIFE SKILLS</t>
  </si>
  <si>
    <t>Percentage of women agreeing or strongly agreeing with life skills statements</t>
  </si>
  <si>
    <t>Percentage of women strongly agreeing with life skills statements</t>
  </si>
  <si>
    <t>Self Esteem</t>
  </si>
  <si>
    <t>I have many positive qualities</t>
  </si>
  <si>
    <t>I am respected in my community and people value my ideas and contributions</t>
  </si>
  <si>
    <t>My life has meaning and purpose</t>
  </si>
  <si>
    <t>Aspirations</t>
  </si>
  <si>
    <t>I think a lot about my future and how I want to live my life</t>
  </si>
  <si>
    <t>I have specific goals for my future</t>
  </si>
  <si>
    <t>I know what I need to do in order to achieve my goals</t>
  </si>
  <si>
    <t>I am confident that I have the ability to achieve my goals</t>
  </si>
  <si>
    <t>Leadership</t>
  </si>
  <si>
    <t>I have the ability to lead or coordinate initiatives in my community</t>
  </si>
  <si>
    <t>I can bring people together to support community initiatives</t>
  </si>
  <si>
    <t>People in my community seek my advice whenever there is an issue</t>
  </si>
  <si>
    <t>When there are different tasks at hand, I am able to prioritize and delegate</t>
  </si>
  <si>
    <t>I can convince others to join a community cause or initiative</t>
  </si>
  <si>
    <t>Percentage of women stating ‘many times’ or ‘always’ to communication statements</t>
  </si>
  <si>
    <t>Percentage of women stating ‘always’ to communication statements</t>
  </si>
  <si>
    <t>Communication</t>
  </si>
  <si>
    <t>I feel comfortable expressing my opinion with Family Members</t>
  </si>
  <si>
    <t>I feel comfortable expressing my opinion with Community Members</t>
  </si>
  <si>
    <t>I can easily express what I think</t>
  </si>
  <si>
    <t>I listen carefully what other people are saying</t>
  </si>
  <si>
    <t>It is easy for other to understand my ideas</t>
  </si>
  <si>
    <t>Conflict Resolution</t>
  </si>
  <si>
    <t>I seek advice or opinions from others when I need to solve an issue or problem</t>
  </si>
  <si>
    <t>I try to understand someone else's point of view</t>
  </si>
  <si>
    <t>I get offended when someone disagrees with me</t>
  </si>
  <si>
    <t>I think about long term effects of a decision before making it</t>
  </si>
  <si>
    <t>J. SOCIAL NORMS</t>
  </si>
  <si>
    <t>Percentage of women agreeing or strongly agreeing with social norms statements</t>
  </si>
  <si>
    <t>Percentage of women strongly agreeing with social norms statements</t>
  </si>
  <si>
    <t>If the woman earns an income, it is better for her husband to handle the money</t>
  </si>
  <si>
    <t>Men have better business ideas</t>
  </si>
  <si>
    <t>A man's job is to earn money; a woman's job is to look after the home and family</t>
  </si>
  <si>
    <t>If a woman is dressed inappropriately, it is her fault if she is sexually harassed</t>
  </si>
  <si>
    <t>A woman who knows how to cook and clean the house will be a good wife</t>
  </si>
  <si>
    <t>It is embarassing/humiliating for men to do domestic chores such as cooking, cleaning, fetching water and caring for children.</t>
  </si>
  <si>
    <t>Planting seeds and watering crops (for family food security) is women's work.</t>
  </si>
  <si>
    <t>The daily work of restoring degraded ecosystems like (mangroves/forest) through planting and watering is really women's work.</t>
  </si>
  <si>
    <t>Only men should drive boats.</t>
  </si>
  <si>
    <t>It is ok for women to display and express emotions such as sadness and loss, but it is not normally ok for men to do 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</si>
</sst>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quot;$&quot;* #,##0.00_-;\-&quot;$&quot;* #,##0.00_-;_-&quot;$&quot;* &quot;-&quot;??_-;_-@_-"/>
    <numFmt numFmtId="166" formatCode="_-&quot;$&quot;* #,##0_-;\-&quot;$&quot;* #,##0_-;_-&quot;$&quot;* &quot;-&quot;??_-;_-@_-"/>
    <numFmt numFmtId="167" formatCode="0.0"/>
  </numFmts>
  <fonts count="12"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24"/>
      <color theme="1"/>
      <name val="Calibri"/>
      <family val="2"/>
      <scheme val="minor"/>
    </font>
    <font>
      <b/>
      <sz val="20"/>
      <color theme="1"/>
      <name val="Calibri"/>
      <family val="2"/>
      <scheme val="minor"/>
    </font>
    <font>
      <b/>
      <sz val="16"/>
      <color theme="1"/>
      <name val="Calibri"/>
      <family val="2"/>
      <scheme val="minor"/>
    </font>
    <font>
      <b/>
      <i/>
      <sz val="11"/>
      <color theme="1"/>
      <name val="Calibri"/>
      <family val="2"/>
      <scheme val="minor"/>
    </font>
    <font>
      <b/>
      <i/>
      <sz val="8"/>
      <color theme="1"/>
      <name val="Calibri"/>
      <family val="2"/>
      <scheme val="minor"/>
    </font>
    <font>
      <sz val="8"/>
      <color theme="1"/>
      <name val="Calibri"/>
      <family val="2"/>
      <scheme val="minor"/>
    </font>
    <font>
      <b/>
      <i/>
      <u/>
      <sz val="11"/>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theme="0" tint="-0.14999847407452621"/>
        <bgColor theme="4" tint="0.79998168889431442"/>
      </patternFill>
    </fill>
    <fill>
      <patternFill patternType="solid">
        <fgColor theme="0" tint="-0.14999847407452621"/>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5" fontId="1" fillId="0" borderId="0" applyFont="0" applyFill="0" applyBorder="0" applyAlignment="0" applyProtection="0"/>
    <xf numFmtId="9" fontId="1" fillId="0" borderId="0" applyFont="0" applyFill="0" applyBorder="0" applyAlignment="0" applyProtection="0"/>
  </cellStyleXfs>
  <cellXfs count="34">
    <xf numFmtId="0" fontId="0" fillId="0" borderId="0" xfId="0"/>
    <xf numFmtId="0" fontId="4" fillId="0" borderId="0" xfId="0" applyFont="1"/>
    <xf numFmtId="0" fontId="5" fillId="0" borderId="0" xfId="0" applyFont="1"/>
    <xf numFmtId="0" fontId="6" fillId="0" borderId="0" xfId="0" applyFont="1"/>
    <xf numFmtId="0" fontId="7" fillId="0" borderId="0" xfId="0" applyFont="1"/>
    <xf numFmtId="0" fontId="3" fillId="2" borderId="1" xfId="0" applyFont="1" applyFill="1" applyBorder="1" applyAlignment="1">
      <alignment horizontal="center"/>
    </xf>
    <xf numFmtId="0" fontId="0" fillId="0" borderId="1" xfId="0" applyBorder="1"/>
    <xf numFmtId="164" fontId="0" fillId="0" borderId="1" xfId="0" applyNumberFormat="1" applyBorder="1" applyAlignment="1">
      <alignment horizontal="center"/>
    </xf>
    <xf numFmtId="0" fontId="8" fillId="0" borderId="0" xfId="0" applyFont="1"/>
    <xf numFmtId="0" fontId="9" fillId="0" borderId="0" xfId="0" applyFont="1"/>
    <xf numFmtId="10" fontId="0" fillId="0" borderId="0" xfId="0" applyNumberFormat="1"/>
    <xf numFmtId="164" fontId="0" fillId="0" borderId="0" xfId="0" applyNumberFormat="1" applyAlignment="1">
      <alignment horizontal="center"/>
    </xf>
    <xf numFmtId="10" fontId="0" fillId="0" borderId="1" xfId="0" applyNumberFormat="1" applyBorder="1"/>
    <xf numFmtId="0" fontId="3" fillId="3" borderId="1" xfId="0" applyFont="1" applyFill="1" applyBorder="1" applyAlignment="1">
      <alignment horizontal="center"/>
    </xf>
    <xf numFmtId="164" fontId="0" fillId="0" borderId="1" xfId="2" applyNumberFormat="1" applyFont="1" applyBorder="1" applyAlignment="1">
      <alignment horizontal="center" vertical="center"/>
    </xf>
    <xf numFmtId="0" fontId="3" fillId="3" borderId="2" xfId="0" applyFont="1" applyFill="1" applyBorder="1" applyAlignment="1">
      <alignment horizontal="center"/>
    </xf>
    <xf numFmtId="0" fontId="3" fillId="3" borderId="3" xfId="0" applyFont="1" applyFill="1" applyBorder="1" applyAlignment="1">
      <alignment horizontal="center"/>
    </xf>
    <xf numFmtId="0" fontId="0" fillId="0" borderId="1" xfId="0" applyBorder="1" applyAlignment="1">
      <alignment horizontal="left"/>
    </xf>
    <xf numFmtId="166" fontId="2" fillId="0" borderId="1" xfId="1" applyNumberFormat="1" applyFont="1" applyFill="1" applyBorder="1" applyAlignment="1">
      <alignment horizontal="center" vertical="center"/>
    </xf>
    <xf numFmtId="164" fontId="0" fillId="0" borderId="1" xfId="0" applyNumberFormat="1" applyBorder="1"/>
    <xf numFmtId="0" fontId="0" fillId="0" borderId="0" xfId="0" applyAlignment="1">
      <alignment horizontal="left"/>
    </xf>
    <xf numFmtId="164" fontId="0" fillId="0" borderId="0" xfId="2" applyNumberFormat="1" applyFont="1" applyBorder="1" applyAlignment="1">
      <alignment horizontal="center" vertical="center"/>
    </xf>
    <xf numFmtId="0" fontId="0" fillId="0" borderId="1" xfId="0" applyBorder="1" applyAlignment="1">
      <alignment horizontal="center"/>
    </xf>
    <xf numFmtId="0" fontId="9" fillId="0" borderId="1" xfId="0" applyFont="1" applyBorder="1" applyAlignment="1">
      <alignment horizontal="center" vertical="center" wrapText="1"/>
    </xf>
    <xf numFmtId="167"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9" fillId="0" borderId="0" xfId="0" applyFont="1" applyAlignment="1">
      <alignment horizontal="center" vertical="center" wrapText="1"/>
    </xf>
    <xf numFmtId="167" fontId="0" fillId="0" borderId="0" xfId="0" applyNumberFormat="1"/>
    <xf numFmtId="0" fontId="0" fillId="4" borderId="1" xfId="0" applyFill="1" applyBorder="1" applyAlignment="1">
      <alignment horizontal="left"/>
    </xf>
    <xf numFmtId="167" fontId="0" fillId="4" borderId="1" xfId="0" applyNumberFormat="1" applyFill="1" applyBorder="1"/>
    <xf numFmtId="0" fontId="9" fillId="0" borderId="1" xfId="0" applyFont="1" applyBorder="1" applyAlignment="1">
      <alignment horizontal="center" vertical="center" wrapText="1"/>
    </xf>
    <xf numFmtId="0" fontId="11" fillId="0" borderId="0" xfId="0" applyFont="1" applyAlignment="1">
      <alignment horizontal="left"/>
    </xf>
    <xf numFmtId="0" fontId="7" fillId="0" borderId="0" xfId="0" applyFont="1" applyAlignment="1">
      <alignment horizontal="left"/>
    </xf>
    <xf numFmtId="0" fontId="9" fillId="0" borderId="1" xfId="0" applyFont="1" applyBorder="1" applyAlignment="1">
      <alignment horizontal="center" vertic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047C7-D971-4552-81C2-C6EE65A18FA5}">
  <sheetPr>
    <tabColor theme="1"/>
  </sheetPr>
  <dimension ref="A2:U516"/>
  <sheetViews>
    <sheetView tabSelected="1" workbookViewId="0">
      <selection activeCell="H4" sqref="H4"/>
    </sheetView>
  </sheetViews>
  <sheetFormatPr defaultRowHeight="15" x14ac:dyDescent="0.25"/>
  <cols>
    <col min="1" max="1" width="12" customWidth="1"/>
    <col min="2" max="2" width="55.85546875" customWidth="1"/>
    <col min="5" max="6" width="8.140625" customWidth="1"/>
    <col min="7" max="7" width="2.28515625" customWidth="1"/>
    <col min="8" max="9" width="8.5703125" customWidth="1"/>
    <col min="10" max="10" width="18.28515625" customWidth="1"/>
    <col min="11" max="11" width="42" customWidth="1"/>
    <col min="12" max="13" width="10.7109375" customWidth="1"/>
    <col min="18" max="18" width="2.42578125" customWidth="1"/>
    <col min="19" max="19" width="10.85546875" customWidth="1"/>
    <col min="20" max="20" width="11.42578125" customWidth="1"/>
    <col min="21" max="21" width="10.85546875" customWidth="1"/>
  </cols>
  <sheetData>
    <row r="2" spans="2:13" ht="31.5" x14ac:dyDescent="0.5">
      <c r="B2" s="1" t="s">
        <v>0</v>
      </c>
    </row>
    <row r="3" spans="2:13" ht="7.5" customHeight="1" x14ac:dyDescent="0.4">
      <c r="B3" s="2"/>
    </row>
    <row r="4" spans="2:13" ht="26.25" x14ac:dyDescent="0.4">
      <c r="B4" s="2" t="s">
        <v>1</v>
      </c>
    </row>
    <row r="7" spans="2:13" ht="21" x14ac:dyDescent="0.35">
      <c r="B7" s="3" t="s">
        <v>2</v>
      </c>
    </row>
    <row r="8" spans="2:13" ht="15.75" customHeight="1" x14ac:dyDescent="0.35">
      <c r="B8" s="3"/>
    </row>
    <row r="10" spans="2:13" x14ac:dyDescent="0.25">
      <c r="B10" s="4" t="s">
        <v>3</v>
      </c>
      <c r="K10" s="4" t="s">
        <v>4</v>
      </c>
    </row>
    <row r="11" spans="2:13" x14ac:dyDescent="0.25">
      <c r="C11" s="5" t="s">
        <v>5</v>
      </c>
      <c r="D11" s="5" t="s">
        <v>6</v>
      </c>
      <c r="L11" s="5" t="s">
        <v>5</v>
      </c>
      <c r="M11" s="5" t="s">
        <v>6</v>
      </c>
    </row>
    <row r="12" spans="2:13" x14ac:dyDescent="0.25">
      <c r="B12" s="6" t="s">
        <v>7</v>
      </c>
      <c r="C12" s="7">
        <v>0.54107648725212465</v>
      </c>
      <c r="D12" s="7">
        <v>0.57187500000000002</v>
      </c>
      <c r="K12" s="6" t="s">
        <v>8</v>
      </c>
      <c r="L12" s="7">
        <v>0.50991501416430596</v>
      </c>
      <c r="M12" s="7">
        <v>0.57680250783699061</v>
      </c>
    </row>
    <row r="13" spans="2:13" x14ac:dyDescent="0.25">
      <c r="B13" s="6" t="s">
        <v>9</v>
      </c>
      <c r="C13" s="7">
        <v>0.45892351274787535</v>
      </c>
      <c r="D13" s="7">
        <v>0.42812499999999998</v>
      </c>
      <c r="K13" s="6" t="s">
        <v>10</v>
      </c>
      <c r="L13" s="7">
        <v>0.49008498583569404</v>
      </c>
      <c r="M13" s="7">
        <v>0.42319749216300939</v>
      </c>
    </row>
    <row r="15" spans="2:13" x14ac:dyDescent="0.25">
      <c r="B15" s="4" t="s">
        <v>11</v>
      </c>
      <c r="K15" s="4" t="s">
        <v>12</v>
      </c>
    </row>
    <row r="16" spans="2:13" x14ac:dyDescent="0.25">
      <c r="C16" s="5" t="s">
        <v>5</v>
      </c>
      <c r="D16" s="5" t="s">
        <v>6</v>
      </c>
      <c r="L16" s="5" t="s">
        <v>5</v>
      </c>
      <c r="M16" s="5" t="s">
        <v>6</v>
      </c>
    </row>
    <row r="17" spans="2:13" x14ac:dyDescent="0.25">
      <c r="B17" s="6" t="s">
        <v>13</v>
      </c>
      <c r="C17" s="7">
        <v>0.72237960339943341</v>
      </c>
      <c r="D17" s="7">
        <v>0.63437500000000002</v>
      </c>
      <c r="K17" s="6" t="s">
        <v>14</v>
      </c>
      <c r="L17" s="7">
        <v>0.45750708215297453</v>
      </c>
      <c r="M17" s="7">
        <v>0.45937499999999998</v>
      </c>
    </row>
    <row r="18" spans="2:13" x14ac:dyDescent="0.25">
      <c r="B18" s="6" t="s">
        <v>15</v>
      </c>
      <c r="C18" s="7">
        <v>0.11189801699716714</v>
      </c>
      <c r="D18" s="7">
        <v>0.20624999999999999</v>
      </c>
      <c r="K18" s="6" t="s">
        <v>16</v>
      </c>
      <c r="L18" s="7">
        <v>0.42209631728045327</v>
      </c>
      <c r="M18" s="7">
        <v>0.4</v>
      </c>
    </row>
    <row r="19" spans="2:13" x14ac:dyDescent="0.25">
      <c r="B19" s="6" t="s">
        <v>17</v>
      </c>
      <c r="C19" s="7">
        <v>7.3654390934844188E-2</v>
      </c>
      <c r="D19" s="7">
        <v>5.3124999999999999E-2</v>
      </c>
      <c r="K19" s="6" t="s">
        <v>18</v>
      </c>
      <c r="L19" s="7">
        <v>0.10481586402266289</v>
      </c>
      <c r="M19" s="7">
        <v>0.11562500000000001</v>
      </c>
    </row>
    <row r="20" spans="2:13" x14ac:dyDescent="0.25">
      <c r="B20" s="6" t="s">
        <v>19</v>
      </c>
      <c r="C20" s="7">
        <v>3.8243626062322948E-2</v>
      </c>
      <c r="D20" s="7">
        <v>5.9374999999999997E-2</v>
      </c>
      <c r="K20" s="6" t="s">
        <v>20</v>
      </c>
      <c r="L20" s="7">
        <v>1.5580736543909348E-2</v>
      </c>
      <c r="M20" s="7">
        <v>2.5000000000000001E-2</v>
      </c>
    </row>
    <row r="21" spans="2:13" x14ac:dyDescent="0.25">
      <c r="B21" s="6" t="s">
        <v>21</v>
      </c>
      <c r="C21" s="7">
        <v>3.39943342776204E-2</v>
      </c>
      <c r="D21" s="7">
        <v>4.3749999999999997E-2</v>
      </c>
    </row>
    <row r="22" spans="2:13" x14ac:dyDescent="0.25">
      <c r="B22" s="6" t="s">
        <v>22</v>
      </c>
      <c r="C22" s="7">
        <v>1.8413597733711047E-2</v>
      </c>
      <c r="D22" s="7">
        <v>3.1250000000000002E-3</v>
      </c>
    </row>
    <row r="23" spans="2:13" x14ac:dyDescent="0.25">
      <c r="B23" s="6" t="s">
        <v>23</v>
      </c>
      <c r="C23" s="7">
        <v>1.4164305949008499E-3</v>
      </c>
      <c r="D23" s="7">
        <v>0</v>
      </c>
    </row>
    <row r="25" spans="2:13" x14ac:dyDescent="0.25">
      <c r="B25" s="4" t="s">
        <v>24</v>
      </c>
      <c r="K25" s="4" t="s">
        <v>25</v>
      </c>
    </row>
    <row r="26" spans="2:13" x14ac:dyDescent="0.25">
      <c r="C26" s="5" t="s">
        <v>5</v>
      </c>
      <c r="D26" s="5" t="s">
        <v>6</v>
      </c>
      <c r="L26" s="5" t="s">
        <v>5</v>
      </c>
      <c r="M26" s="5" t="s">
        <v>6</v>
      </c>
    </row>
    <row r="27" spans="2:13" x14ac:dyDescent="0.25">
      <c r="B27" s="6" t="s">
        <v>26</v>
      </c>
      <c r="C27" s="7">
        <v>0.34844192634560905</v>
      </c>
      <c r="D27" s="7">
        <v>0.38750000000000001</v>
      </c>
      <c r="K27" s="6" t="s">
        <v>27</v>
      </c>
      <c r="L27" s="7">
        <v>0.35269121813031162</v>
      </c>
      <c r="M27" s="7">
        <v>0.25937500000000002</v>
      </c>
    </row>
    <row r="28" spans="2:13" x14ac:dyDescent="0.25">
      <c r="B28" s="6" t="s">
        <v>28</v>
      </c>
      <c r="C28" s="7">
        <v>0.17563739376770537</v>
      </c>
      <c r="D28" s="7">
        <v>0.30312499999999998</v>
      </c>
      <c r="K28" s="6" t="s">
        <v>28</v>
      </c>
      <c r="L28" s="7">
        <v>0.20538243626062322</v>
      </c>
      <c r="M28" s="7">
        <v>0.30312499999999998</v>
      </c>
    </row>
    <row r="29" spans="2:13" x14ac:dyDescent="0.25">
      <c r="B29" s="6" t="s">
        <v>29</v>
      </c>
      <c r="C29" s="7">
        <v>0.25495750708215298</v>
      </c>
      <c r="D29" s="7">
        <v>0.11562500000000001</v>
      </c>
      <c r="K29" s="6" t="s">
        <v>29</v>
      </c>
      <c r="L29" s="7">
        <v>0.23654390934844194</v>
      </c>
      <c r="M29" s="7">
        <v>0.22812499999999999</v>
      </c>
    </row>
    <row r="30" spans="2:13" x14ac:dyDescent="0.25">
      <c r="B30" s="6" t="s">
        <v>30</v>
      </c>
      <c r="C30" s="7">
        <v>3.6827195467422094E-2</v>
      </c>
      <c r="D30" s="7">
        <v>5.9374999999999997E-2</v>
      </c>
      <c r="K30" s="6" t="s">
        <v>31</v>
      </c>
      <c r="L30" s="7">
        <v>1.4164305949008499E-2</v>
      </c>
      <c r="M30" s="7">
        <v>0.125</v>
      </c>
    </row>
    <row r="31" spans="2:13" x14ac:dyDescent="0.25">
      <c r="B31" s="6" t="s">
        <v>32</v>
      </c>
      <c r="C31" s="7">
        <v>3.6827195467422094E-2</v>
      </c>
      <c r="D31" s="7">
        <v>3.125E-2</v>
      </c>
      <c r="K31" s="6" t="s">
        <v>33</v>
      </c>
      <c r="L31" s="7">
        <v>8.4985835694051E-3</v>
      </c>
      <c r="M31" s="7">
        <v>0.05</v>
      </c>
    </row>
    <row r="32" spans="2:13" x14ac:dyDescent="0.25">
      <c r="B32" s="6" t="s">
        <v>34</v>
      </c>
      <c r="C32" s="7">
        <v>4.2492917847025496E-2</v>
      </c>
      <c r="D32" s="7">
        <v>1.5625E-2</v>
      </c>
      <c r="K32" s="6" t="s">
        <v>30</v>
      </c>
      <c r="L32" s="7">
        <v>1.8413597733711047E-2</v>
      </c>
      <c r="M32" s="7">
        <v>1.5625E-2</v>
      </c>
    </row>
    <row r="33" spans="2:13" x14ac:dyDescent="0.25">
      <c r="B33" s="6" t="s">
        <v>35</v>
      </c>
      <c r="C33" s="7">
        <v>3.1161473087818695E-2</v>
      </c>
      <c r="D33" s="7">
        <v>1.2500000000000001E-2</v>
      </c>
      <c r="K33" s="6" t="s">
        <v>36</v>
      </c>
      <c r="L33" s="7">
        <v>1.5580736543909348E-2</v>
      </c>
      <c r="M33" s="7">
        <v>1.8749999999999999E-2</v>
      </c>
    </row>
    <row r="34" spans="2:13" x14ac:dyDescent="0.25">
      <c r="B34" s="6" t="s">
        <v>37</v>
      </c>
      <c r="C34" s="7">
        <v>1.9830028328611898E-2</v>
      </c>
      <c r="D34" s="7">
        <v>9.3749999999999997E-3</v>
      </c>
      <c r="K34" s="6" t="s">
        <v>38</v>
      </c>
      <c r="L34" s="7">
        <v>1.5580736543909348E-2</v>
      </c>
      <c r="M34" s="7">
        <v>6.2500000000000003E-3</v>
      </c>
    </row>
    <row r="35" spans="2:13" x14ac:dyDescent="0.25">
      <c r="B35" s="6" t="s">
        <v>31</v>
      </c>
      <c r="C35" s="7">
        <v>8.4985835694051E-3</v>
      </c>
      <c r="D35" s="7">
        <v>3.4375000000000003E-2</v>
      </c>
      <c r="K35" s="6" t="s">
        <v>37</v>
      </c>
      <c r="L35" s="7">
        <v>1.1331444759206799E-2</v>
      </c>
      <c r="M35" s="7">
        <v>1.2500000000000001E-2</v>
      </c>
    </row>
    <row r="36" spans="2:13" x14ac:dyDescent="0.25">
      <c r="B36" s="6" t="s">
        <v>38</v>
      </c>
      <c r="C36" s="7">
        <v>1.8413597733711047E-2</v>
      </c>
      <c r="D36" s="7">
        <v>3.1250000000000002E-3</v>
      </c>
      <c r="K36" s="6" t="s">
        <v>39</v>
      </c>
      <c r="L36" s="7">
        <v>1.4164305949008499E-3</v>
      </c>
      <c r="M36" s="7">
        <v>2.8125000000000001E-2</v>
      </c>
    </row>
    <row r="37" spans="2:13" x14ac:dyDescent="0.25">
      <c r="B37" s="6" t="s">
        <v>40</v>
      </c>
      <c r="C37" s="7">
        <v>1.4164305949008499E-2</v>
      </c>
      <c r="D37" s="7">
        <v>1.2500000000000001E-2</v>
      </c>
      <c r="K37" s="6" t="s">
        <v>40</v>
      </c>
      <c r="L37" s="7">
        <v>1.2747875354107648E-2</v>
      </c>
      <c r="M37" s="7">
        <v>3.1250000000000002E-3</v>
      </c>
    </row>
    <row r="38" spans="2:13" x14ac:dyDescent="0.25">
      <c r="B38" s="6" t="s">
        <v>33</v>
      </c>
      <c r="C38" s="7">
        <v>8.4985835694051E-3</v>
      </c>
      <c r="D38" s="7">
        <v>9.3749999999999997E-3</v>
      </c>
      <c r="K38" s="6" t="s">
        <v>34</v>
      </c>
      <c r="L38" s="7">
        <v>7.0821529745042494E-3</v>
      </c>
      <c r="M38" s="7">
        <v>1.2500000000000001E-2</v>
      </c>
    </row>
    <row r="39" spans="2:13" x14ac:dyDescent="0.25">
      <c r="B39" s="6" t="s">
        <v>39</v>
      </c>
      <c r="C39" s="7">
        <v>2.8328611898016999E-3</v>
      </c>
      <c r="D39" s="7">
        <v>6.2500000000000003E-3</v>
      </c>
      <c r="K39" s="6" t="s">
        <v>32</v>
      </c>
      <c r="L39" s="7">
        <v>1.1331444759206799E-2</v>
      </c>
      <c r="M39" s="7">
        <v>3.1250000000000002E-3</v>
      </c>
    </row>
    <row r="40" spans="2:13" x14ac:dyDescent="0.25">
      <c r="B40" s="6" t="s">
        <v>36</v>
      </c>
      <c r="C40" s="7">
        <v>1.4164305949008499E-3</v>
      </c>
      <c r="D40" s="7">
        <v>0</v>
      </c>
    </row>
    <row r="42" spans="2:13" x14ac:dyDescent="0.25">
      <c r="B42" s="4" t="s">
        <v>41</v>
      </c>
      <c r="K42" s="4" t="s">
        <v>42</v>
      </c>
    </row>
    <row r="43" spans="2:13" ht="12.75" customHeight="1" x14ac:dyDescent="0.25">
      <c r="B43" s="8" t="s">
        <v>43</v>
      </c>
      <c r="E43" s="9" t="s">
        <v>44</v>
      </c>
      <c r="K43" s="8" t="s">
        <v>45</v>
      </c>
    </row>
    <row r="44" spans="2:13" x14ac:dyDescent="0.25">
      <c r="C44" s="5" t="s">
        <v>5</v>
      </c>
      <c r="D44" s="5" t="s">
        <v>6</v>
      </c>
      <c r="L44" s="5" t="s">
        <v>5</v>
      </c>
      <c r="M44" s="5" t="s">
        <v>6</v>
      </c>
    </row>
    <row r="45" spans="2:13" x14ac:dyDescent="0.25">
      <c r="B45" s="6" t="s">
        <v>46</v>
      </c>
      <c r="C45" s="7">
        <v>0.84277620396600561</v>
      </c>
      <c r="D45" s="7">
        <v>0.796875</v>
      </c>
      <c r="K45" s="6" t="s">
        <v>46</v>
      </c>
      <c r="L45" s="7">
        <v>0.7025495750708215</v>
      </c>
      <c r="M45" s="7">
        <v>0.72499999999999998</v>
      </c>
    </row>
    <row r="46" spans="2:13" x14ac:dyDescent="0.25">
      <c r="B46" s="6" t="s">
        <v>47</v>
      </c>
      <c r="C46" s="7">
        <v>0.15722379603399433</v>
      </c>
      <c r="D46" s="7">
        <v>0.203125</v>
      </c>
      <c r="K46" s="6" t="s">
        <v>47</v>
      </c>
      <c r="L46" s="7">
        <v>0.29745042492917845</v>
      </c>
      <c r="M46" s="7">
        <v>0.27500000000000002</v>
      </c>
    </row>
    <row r="48" spans="2:13" x14ac:dyDescent="0.25">
      <c r="B48" s="4" t="s">
        <v>48</v>
      </c>
      <c r="C48" s="10"/>
      <c r="L48" s="10"/>
    </row>
    <row r="49" spans="2:13" x14ac:dyDescent="0.25">
      <c r="C49" s="5" t="s">
        <v>5</v>
      </c>
      <c r="D49" s="5" t="s">
        <v>6</v>
      </c>
      <c r="E49" s="10"/>
    </row>
    <row r="50" spans="2:13" x14ac:dyDescent="0.25">
      <c r="B50" s="6" t="s">
        <v>46</v>
      </c>
      <c r="C50" s="7">
        <v>0.27620396600566571</v>
      </c>
      <c r="D50" s="7">
        <v>0.19375000000000001</v>
      </c>
      <c r="E50" s="10"/>
    </row>
    <row r="51" spans="2:13" x14ac:dyDescent="0.25">
      <c r="B51" s="6" t="s">
        <v>47</v>
      </c>
      <c r="C51" s="7">
        <v>0.72379603399433423</v>
      </c>
      <c r="D51" s="7">
        <v>0.80625000000000002</v>
      </c>
      <c r="E51" s="10"/>
    </row>
    <row r="52" spans="2:13" x14ac:dyDescent="0.25">
      <c r="C52" s="11"/>
      <c r="D52" s="11"/>
      <c r="E52" s="10"/>
    </row>
    <row r="53" spans="2:13" x14ac:dyDescent="0.25">
      <c r="B53" s="4" t="s">
        <v>49</v>
      </c>
      <c r="C53" s="10"/>
      <c r="E53" s="10"/>
      <c r="K53" s="4" t="s">
        <v>50</v>
      </c>
    </row>
    <row r="54" spans="2:13" x14ac:dyDescent="0.25">
      <c r="C54" s="5" t="s">
        <v>5</v>
      </c>
      <c r="D54" s="5" t="s">
        <v>6</v>
      </c>
      <c r="L54" s="5" t="s">
        <v>5</v>
      </c>
      <c r="M54" s="5" t="s">
        <v>6</v>
      </c>
    </row>
    <row r="55" spans="2:13" x14ac:dyDescent="0.25">
      <c r="B55" s="6" t="s">
        <v>51</v>
      </c>
      <c r="C55" s="7">
        <v>0.59915014164305946</v>
      </c>
      <c r="D55" s="7">
        <v>0.66874999999999996</v>
      </c>
      <c r="K55" s="6" t="s">
        <v>52</v>
      </c>
      <c r="L55" s="7">
        <v>0.66572237960339942</v>
      </c>
      <c r="M55" s="7">
        <v>0.79374999999999996</v>
      </c>
    </row>
    <row r="56" spans="2:13" x14ac:dyDescent="0.25">
      <c r="B56" s="6" t="s">
        <v>53</v>
      </c>
      <c r="C56" s="7">
        <v>0.3895184135977337</v>
      </c>
      <c r="D56" s="7">
        <v>0.3125</v>
      </c>
      <c r="K56" s="6" t="s">
        <v>54</v>
      </c>
      <c r="L56" s="7">
        <v>0.33427762039660058</v>
      </c>
      <c r="M56" s="7">
        <v>0.20624999999999999</v>
      </c>
    </row>
    <row r="57" spans="2:13" x14ac:dyDescent="0.25">
      <c r="B57" s="6" t="s">
        <v>55</v>
      </c>
      <c r="C57" s="7">
        <v>1.1331444759206799E-2</v>
      </c>
      <c r="D57" s="7">
        <v>1.8749999999999999E-2</v>
      </c>
    </row>
    <row r="60" spans="2:13" ht="21" x14ac:dyDescent="0.35">
      <c r="B60" s="3" t="s">
        <v>56</v>
      </c>
    </row>
    <row r="63" spans="2:13" x14ac:dyDescent="0.25">
      <c r="B63" s="4" t="s">
        <v>57</v>
      </c>
      <c r="K63" s="4" t="s">
        <v>58</v>
      </c>
    </row>
    <row r="64" spans="2:13" x14ac:dyDescent="0.25">
      <c r="C64" s="5" t="s">
        <v>5</v>
      </c>
      <c r="D64" s="5" t="s">
        <v>6</v>
      </c>
      <c r="L64" s="5" t="s">
        <v>5</v>
      </c>
      <c r="M64" s="5" t="s">
        <v>6</v>
      </c>
    </row>
    <row r="65" spans="2:13" x14ac:dyDescent="0.25">
      <c r="B65" s="6" t="s">
        <v>59</v>
      </c>
      <c r="C65" s="7">
        <v>0.69121813031161472</v>
      </c>
      <c r="D65" s="7">
        <v>0.63437500000000002</v>
      </c>
      <c r="K65" s="6" t="s">
        <v>60</v>
      </c>
      <c r="L65" s="7">
        <v>0.32667876588021777</v>
      </c>
      <c r="M65" s="7">
        <v>0.2</v>
      </c>
    </row>
    <row r="66" spans="2:13" x14ac:dyDescent="0.25">
      <c r="B66" s="6" t="s">
        <v>61</v>
      </c>
      <c r="C66" s="7">
        <v>0.23371104815864022</v>
      </c>
      <c r="D66" s="7">
        <v>0.25312499999999999</v>
      </c>
      <c r="K66" s="6" t="s">
        <v>62</v>
      </c>
      <c r="L66" s="7">
        <v>0.31941923774954628</v>
      </c>
      <c r="M66" s="7">
        <v>0.46666666666666667</v>
      </c>
    </row>
    <row r="67" spans="2:13" x14ac:dyDescent="0.25">
      <c r="B67" s="6" t="s">
        <v>63</v>
      </c>
      <c r="C67" s="7">
        <v>8.640226628895184E-2</v>
      </c>
      <c r="D67" s="7">
        <v>0.22812499999999999</v>
      </c>
      <c r="K67" s="6" t="s">
        <v>64</v>
      </c>
      <c r="L67" s="7">
        <v>0.17604355716878403</v>
      </c>
      <c r="M67" s="7">
        <v>0.24166666666666667</v>
      </c>
    </row>
    <row r="68" spans="2:13" x14ac:dyDescent="0.25">
      <c r="B68" s="6" t="s">
        <v>65</v>
      </c>
      <c r="C68" s="7">
        <v>4.6742209631728045E-2</v>
      </c>
      <c r="D68" s="7">
        <v>0.1</v>
      </c>
      <c r="K68" s="6" t="s">
        <v>66</v>
      </c>
      <c r="L68" s="7">
        <v>0.1397459165154265</v>
      </c>
      <c r="M68" s="7">
        <v>7.9166666666666663E-2</v>
      </c>
    </row>
    <row r="69" spans="2:13" x14ac:dyDescent="0.25">
      <c r="B69" s="6" t="s">
        <v>67</v>
      </c>
      <c r="C69" s="7">
        <v>9.0651558073654395E-2</v>
      </c>
      <c r="D69" s="7">
        <v>0.05</v>
      </c>
      <c r="K69" s="6" t="s">
        <v>68</v>
      </c>
      <c r="L69" s="7">
        <v>2.9038112522686024E-2</v>
      </c>
      <c r="M69" s="7">
        <v>4.1666666666666666E-3</v>
      </c>
    </row>
    <row r="70" spans="2:13" x14ac:dyDescent="0.25">
      <c r="B70" s="6" t="s">
        <v>69</v>
      </c>
      <c r="C70" s="7">
        <v>2.8328611898016999E-3</v>
      </c>
      <c r="D70" s="7">
        <v>1.8749999999999999E-2</v>
      </c>
      <c r="K70" s="6" t="s">
        <v>70</v>
      </c>
      <c r="L70" s="7">
        <v>9.0744101633393835E-3</v>
      </c>
      <c r="M70" s="7">
        <v>8.3333333333333332E-3</v>
      </c>
    </row>
    <row r="71" spans="2:13" x14ac:dyDescent="0.25">
      <c r="B71" s="6" t="s">
        <v>71</v>
      </c>
      <c r="C71" s="7">
        <v>0</v>
      </c>
      <c r="D71" s="7">
        <v>1.2500000000000001E-2</v>
      </c>
    </row>
    <row r="72" spans="2:13" x14ac:dyDescent="0.25">
      <c r="B72" s="6" t="s">
        <v>72</v>
      </c>
      <c r="C72" s="7">
        <v>2.8328611898016999E-3</v>
      </c>
      <c r="D72" s="7">
        <v>6.2500000000000003E-3</v>
      </c>
    </row>
    <row r="73" spans="2:13" x14ac:dyDescent="0.25">
      <c r="B73" s="6" t="s">
        <v>73</v>
      </c>
      <c r="C73" s="7">
        <v>2.8328611898016998E-2</v>
      </c>
      <c r="D73" s="7">
        <v>6.2500000000000003E-3</v>
      </c>
    </row>
    <row r="74" spans="2:13" x14ac:dyDescent="0.25">
      <c r="B74" s="6" t="s">
        <v>74</v>
      </c>
      <c r="C74" s="7">
        <v>2.8328611898016999E-3</v>
      </c>
      <c r="D74" s="7">
        <v>0</v>
      </c>
    </row>
    <row r="75" spans="2:13" x14ac:dyDescent="0.25">
      <c r="B75" s="6" t="s">
        <v>75</v>
      </c>
      <c r="C75" s="7">
        <v>1.5580736543909348E-2</v>
      </c>
      <c r="D75" s="7">
        <v>0</v>
      </c>
    </row>
    <row r="77" spans="2:13" x14ac:dyDescent="0.25">
      <c r="B77" s="4" t="s">
        <v>76</v>
      </c>
    </row>
    <row r="78" spans="2:13" x14ac:dyDescent="0.25">
      <c r="C78" s="5" t="s">
        <v>5</v>
      </c>
      <c r="D78" s="5" t="s">
        <v>6</v>
      </c>
    </row>
    <row r="79" spans="2:13" x14ac:dyDescent="0.25">
      <c r="B79" s="6" t="s">
        <v>77</v>
      </c>
      <c r="C79" s="7">
        <v>0.41643059490084988</v>
      </c>
      <c r="D79" s="7">
        <v>0.4375</v>
      </c>
    </row>
    <row r="80" spans="2:13" x14ac:dyDescent="0.25">
      <c r="B80" s="6" t="s">
        <v>78</v>
      </c>
      <c r="C80" s="7">
        <v>4.6742209631728045E-2</v>
      </c>
      <c r="D80" s="7">
        <v>0.25833333333333336</v>
      </c>
    </row>
    <row r="81" spans="2:4" x14ac:dyDescent="0.25">
      <c r="B81" s="6" t="s">
        <v>79</v>
      </c>
      <c r="C81" s="7">
        <v>0.14730878186968838</v>
      </c>
      <c r="D81" s="7">
        <v>0.22916666666666666</v>
      </c>
    </row>
    <row r="82" spans="2:4" x14ac:dyDescent="0.25">
      <c r="B82" s="6" t="s">
        <v>80</v>
      </c>
      <c r="C82" s="7">
        <v>0.18838526912181303</v>
      </c>
      <c r="D82" s="7">
        <v>0.17499999999999999</v>
      </c>
    </row>
    <row r="83" spans="2:4" x14ac:dyDescent="0.25">
      <c r="B83" s="6" t="s">
        <v>81</v>
      </c>
      <c r="C83" s="7">
        <v>0.11189801699716714</v>
      </c>
      <c r="D83" s="7">
        <v>0.15833333333333333</v>
      </c>
    </row>
    <row r="84" spans="2:4" x14ac:dyDescent="0.25">
      <c r="B84" s="6" t="s">
        <v>82</v>
      </c>
      <c r="C84" s="7">
        <v>0.10906515580736544</v>
      </c>
      <c r="D84" s="7">
        <v>0.13750000000000001</v>
      </c>
    </row>
    <row r="85" spans="2:4" x14ac:dyDescent="0.25">
      <c r="B85" s="6" t="s">
        <v>83</v>
      </c>
      <c r="C85" s="7">
        <v>7.6487252124645896E-2</v>
      </c>
      <c r="D85" s="7">
        <v>0.12083333333333333</v>
      </c>
    </row>
    <row r="86" spans="2:4" x14ac:dyDescent="0.25">
      <c r="B86" s="6" t="s">
        <v>84</v>
      </c>
      <c r="C86" s="7">
        <v>6.79886685552408E-2</v>
      </c>
      <c r="D86" s="7">
        <v>5.8333333333333334E-2</v>
      </c>
    </row>
    <row r="87" spans="2:4" x14ac:dyDescent="0.25">
      <c r="B87" s="6" t="s">
        <v>85</v>
      </c>
      <c r="C87" s="7">
        <v>4.1076487252124649E-2</v>
      </c>
      <c r="D87" s="7">
        <v>5.4166666666666669E-2</v>
      </c>
    </row>
    <row r="88" spans="2:4" x14ac:dyDescent="0.25">
      <c r="B88" s="6" t="s">
        <v>86</v>
      </c>
      <c r="C88" s="7">
        <v>5.5240793201133141E-2</v>
      </c>
      <c r="D88" s="7">
        <v>4.1666666666666664E-2</v>
      </c>
    </row>
    <row r="89" spans="2:4" x14ac:dyDescent="0.25">
      <c r="B89" s="6" t="s">
        <v>87</v>
      </c>
      <c r="C89" s="7">
        <v>3.9660056657223795E-2</v>
      </c>
      <c r="D89" s="7">
        <v>3.3333333333333333E-2</v>
      </c>
    </row>
    <row r="90" spans="2:4" x14ac:dyDescent="0.25">
      <c r="B90" s="6" t="s">
        <v>88</v>
      </c>
      <c r="C90" s="7">
        <v>5.3824362606232294E-2</v>
      </c>
      <c r="D90" s="7">
        <v>8.3333333333333332E-3</v>
      </c>
    </row>
    <row r="91" spans="2:4" x14ac:dyDescent="0.25">
      <c r="B91" s="6" t="s">
        <v>89</v>
      </c>
      <c r="C91" s="7">
        <v>2.4079320113314446E-2</v>
      </c>
      <c r="D91" s="7">
        <v>0</v>
      </c>
    </row>
    <row r="94" spans="2:4" ht="21" x14ac:dyDescent="0.35">
      <c r="B94" s="3" t="s">
        <v>90</v>
      </c>
    </row>
    <row r="97" spans="2:13" x14ac:dyDescent="0.25">
      <c r="B97" s="4" t="s">
        <v>91</v>
      </c>
      <c r="E97" s="9" t="s">
        <v>44</v>
      </c>
      <c r="K97" s="4" t="s">
        <v>92</v>
      </c>
    </row>
    <row r="98" spans="2:13" x14ac:dyDescent="0.25">
      <c r="C98" s="5" t="s">
        <v>5</v>
      </c>
      <c r="D98" s="5" t="s">
        <v>6</v>
      </c>
      <c r="L98" s="5" t="s">
        <v>5</v>
      </c>
      <c r="M98" s="5" t="s">
        <v>6</v>
      </c>
    </row>
    <row r="99" spans="2:13" x14ac:dyDescent="0.25">
      <c r="B99" s="6" t="s">
        <v>46</v>
      </c>
      <c r="C99" s="7">
        <v>4.6742209631728045E-2</v>
      </c>
      <c r="D99" s="7">
        <v>0.37812499999999999</v>
      </c>
      <c r="K99" s="6" t="s">
        <v>93</v>
      </c>
      <c r="L99" s="7">
        <v>1.69971671388102E-2</v>
      </c>
      <c r="M99" s="7">
        <v>0.26874999999999999</v>
      </c>
    </row>
    <row r="100" spans="2:13" x14ac:dyDescent="0.25">
      <c r="B100" s="6" t="s">
        <v>47</v>
      </c>
      <c r="C100" s="7">
        <v>0.45184135977337109</v>
      </c>
      <c r="D100" s="7">
        <v>0.421875</v>
      </c>
      <c r="K100" s="6" t="s">
        <v>94</v>
      </c>
      <c r="L100" s="7">
        <v>1.2747875354107648E-2</v>
      </c>
      <c r="M100" s="7">
        <v>7.4999999999999997E-2</v>
      </c>
    </row>
    <row r="101" spans="2:13" x14ac:dyDescent="0.25">
      <c r="B101" s="6" t="s">
        <v>95</v>
      </c>
      <c r="C101" s="7">
        <v>0.50141643059490082</v>
      </c>
      <c r="D101" s="7">
        <v>0.2</v>
      </c>
      <c r="K101" s="6" t="s">
        <v>47</v>
      </c>
      <c r="L101" s="7">
        <v>1.69971671388102E-2</v>
      </c>
      <c r="M101" s="7">
        <v>3.4375000000000003E-2</v>
      </c>
    </row>
    <row r="102" spans="2:13" x14ac:dyDescent="0.25">
      <c r="K102" s="6" t="s">
        <v>96</v>
      </c>
      <c r="L102" s="7">
        <v>0.95325779036827196</v>
      </c>
      <c r="M102" s="7">
        <v>0.62187499999999996</v>
      </c>
    </row>
    <row r="103" spans="2:13" x14ac:dyDescent="0.25">
      <c r="B103" s="4" t="s">
        <v>97</v>
      </c>
    </row>
    <row r="104" spans="2:13" x14ac:dyDescent="0.25">
      <c r="C104" s="5" t="s">
        <v>5</v>
      </c>
      <c r="D104" s="5" t="s">
        <v>6</v>
      </c>
      <c r="K104" s="4" t="s">
        <v>98</v>
      </c>
    </row>
    <row r="105" spans="2:13" x14ac:dyDescent="0.25">
      <c r="B105" s="6" t="s">
        <v>70</v>
      </c>
      <c r="C105" s="7">
        <v>4.24929178470255E-3</v>
      </c>
      <c r="D105" s="7">
        <v>0</v>
      </c>
      <c r="L105" s="5" t="s">
        <v>5</v>
      </c>
      <c r="M105" s="5" t="s">
        <v>6</v>
      </c>
    </row>
    <row r="106" spans="2:13" x14ac:dyDescent="0.25">
      <c r="B106" s="6" t="s">
        <v>62</v>
      </c>
      <c r="C106" s="7">
        <v>7.0821529745042494E-3</v>
      </c>
      <c r="D106" s="7">
        <v>7.8125E-2</v>
      </c>
      <c r="K106" s="6" t="s">
        <v>46</v>
      </c>
      <c r="L106" s="7">
        <v>0.11756373937677053</v>
      </c>
      <c r="M106" s="7">
        <v>0.46250000000000002</v>
      </c>
    </row>
    <row r="107" spans="2:13" x14ac:dyDescent="0.25">
      <c r="B107" s="6" t="s">
        <v>64</v>
      </c>
      <c r="C107" s="7">
        <v>1.69971671388102E-2</v>
      </c>
      <c r="D107" s="7">
        <v>0.11562500000000001</v>
      </c>
      <c r="K107" s="6" t="s">
        <v>99</v>
      </c>
      <c r="L107" s="7">
        <v>0.23654390934844194</v>
      </c>
      <c r="M107" s="7">
        <v>0.27500000000000002</v>
      </c>
    </row>
    <row r="108" spans="2:13" x14ac:dyDescent="0.25">
      <c r="B108" s="6" t="s">
        <v>66</v>
      </c>
      <c r="C108" s="7">
        <v>1.1331444759206799E-2</v>
      </c>
      <c r="D108" s="7">
        <v>4.6875E-2</v>
      </c>
      <c r="K108" s="6" t="s">
        <v>47</v>
      </c>
      <c r="L108" s="7">
        <v>0.6458923512747875</v>
      </c>
      <c r="M108" s="7">
        <v>0.26250000000000001</v>
      </c>
    </row>
    <row r="109" spans="2:13" x14ac:dyDescent="0.25">
      <c r="B109" s="6" t="s">
        <v>60</v>
      </c>
      <c r="C109" s="7">
        <v>2.8328611898016999E-3</v>
      </c>
      <c r="D109" s="7">
        <v>0.109375</v>
      </c>
    </row>
    <row r="110" spans="2:13" x14ac:dyDescent="0.25">
      <c r="B110" s="6" t="s">
        <v>68</v>
      </c>
      <c r="C110" s="7">
        <v>4.24929178470255E-3</v>
      </c>
      <c r="D110" s="7">
        <v>2.8125000000000001E-2</v>
      </c>
    </row>
    <row r="111" spans="2:13" x14ac:dyDescent="0.25">
      <c r="B111" s="6" t="s">
        <v>96</v>
      </c>
      <c r="C111" s="7">
        <v>0.95325779036827196</v>
      </c>
      <c r="D111" s="7">
        <v>0.62187499999999996</v>
      </c>
    </row>
    <row r="113" spans="2:13" x14ac:dyDescent="0.25">
      <c r="B113" s="4" t="s">
        <v>100</v>
      </c>
      <c r="K113" s="4" t="s">
        <v>101</v>
      </c>
    </row>
    <row r="114" spans="2:13" x14ac:dyDescent="0.25">
      <c r="C114" s="5" t="s">
        <v>5</v>
      </c>
      <c r="D114" s="5" t="s">
        <v>6</v>
      </c>
      <c r="L114" s="5" t="s">
        <v>5</v>
      </c>
      <c r="M114" s="5" t="s">
        <v>6</v>
      </c>
    </row>
    <row r="115" spans="2:13" x14ac:dyDescent="0.25">
      <c r="B115" s="6" t="s">
        <v>47</v>
      </c>
      <c r="C115" s="7">
        <v>0.69546742209631729</v>
      </c>
      <c r="D115" s="7">
        <v>0.35312500000000002</v>
      </c>
      <c r="K115" s="6" t="s">
        <v>47</v>
      </c>
      <c r="L115" s="12">
        <v>0.76770538243626063</v>
      </c>
      <c r="M115" s="12">
        <v>0.48125000000000001</v>
      </c>
    </row>
    <row r="116" spans="2:13" x14ac:dyDescent="0.25">
      <c r="B116" s="6" t="s">
        <v>102</v>
      </c>
      <c r="C116" s="7">
        <v>0.15730878186968819</v>
      </c>
      <c r="D116" s="7">
        <v>0.46237500000000004</v>
      </c>
      <c r="K116" s="6" t="s">
        <v>102</v>
      </c>
      <c r="L116" s="7">
        <v>0.10339943342776203</v>
      </c>
      <c r="M116" s="7">
        <v>0.33124999999999999</v>
      </c>
    </row>
    <row r="117" spans="2:13" x14ac:dyDescent="0.25">
      <c r="B117" s="6" t="s">
        <v>94</v>
      </c>
      <c r="C117" s="7">
        <v>0.14730878186968838</v>
      </c>
      <c r="D117" s="7">
        <v>0.18437499999999998</v>
      </c>
      <c r="K117" s="6" t="s">
        <v>94</v>
      </c>
      <c r="L117" s="7">
        <v>0.12889518413597734</v>
      </c>
      <c r="M117" s="7">
        <v>0.1875</v>
      </c>
    </row>
    <row r="119" spans="2:13" x14ac:dyDescent="0.25">
      <c r="B119" s="4" t="s">
        <v>103</v>
      </c>
    </row>
    <row r="120" spans="2:13" x14ac:dyDescent="0.25">
      <c r="C120" s="5" t="s">
        <v>5</v>
      </c>
      <c r="D120" s="5" t="s">
        <v>6</v>
      </c>
    </row>
    <row r="121" spans="2:13" x14ac:dyDescent="0.25">
      <c r="B121" s="6" t="s">
        <v>47</v>
      </c>
      <c r="C121" s="7">
        <v>0.7535410764872521</v>
      </c>
      <c r="D121" s="7">
        <v>0.359375</v>
      </c>
    </row>
    <row r="122" spans="2:13" x14ac:dyDescent="0.25">
      <c r="B122" s="6" t="s">
        <v>102</v>
      </c>
      <c r="C122" s="7">
        <v>8.9235127478753534E-2</v>
      </c>
      <c r="D122" s="7">
        <v>0.45</v>
      </c>
      <c r="L122" s="10"/>
      <c r="M122" s="10"/>
    </row>
    <row r="123" spans="2:13" x14ac:dyDescent="0.25">
      <c r="B123" s="6" t="s">
        <v>94</v>
      </c>
      <c r="C123" s="7">
        <v>0.15722379603399433</v>
      </c>
      <c r="D123" s="7">
        <v>0.19062499999999999</v>
      </c>
      <c r="L123" s="10"/>
      <c r="M123" s="10"/>
    </row>
    <row r="124" spans="2:13" x14ac:dyDescent="0.25">
      <c r="L124" s="10"/>
      <c r="M124" s="10"/>
    </row>
    <row r="125" spans="2:13" x14ac:dyDescent="0.25">
      <c r="L125" s="10"/>
      <c r="M125" s="10"/>
    </row>
    <row r="126" spans="2:13" ht="21" x14ac:dyDescent="0.35">
      <c r="B126" s="3" t="s">
        <v>104</v>
      </c>
      <c r="L126" s="10"/>
      <c r="M126" s="10"/>
    </row>
    <row r="127" spans="2:13" x14ac:dyDescent="0.25">
      <c r="L127" s="10"/>
      <c r="M127" s="10"/>
    </row>
    <row r="128" spans="2:13" x14ac:dyDescent="0.25">
      <c r="B128" s="4" t="s">
        <v>105</v>
      </c>
      <c r="K128" s="4" t="s">
        <v>106</v>
      </c>
    </row>
    <row r="129" spans="2:21" x14ac:dyDescent="0.25">
      <c r="C129" s="5" t="s">
        <v>5</v>
      </c>
      <c r="D129" s="5" t="s">
        <v>6</v>
      </c>
      <c r="L129" s="13" t="s">
        <v>107</v>
      </c>
      <c r="M129" s="13"/>
      <c r="N129" s="13" t="s">
        <v>108</v>
      </c>
      <c r="O129" s="13"/>
      <c r="P129" s="13" t="s">
        <v>109</v>
      </c>
      <c r="Q129" s="13"/>
    </row>
    <row r="130" spans="2:21" x14ac:dyDescent="0.25">
      <c r="B130" s="6" t="s">
        <v>110</v>
      </c>
      <c r="C130" s="14">
        <v>0.49291784702549574</v>
      </c>
      <c r="D130" s="14">
        <v>0.64687499999999998</v>
      </c>
      <c r="L130" s="5" t="s">
        <v>5</v>
      </c>
      <c r="M130" s="5" t="s">
        <v>6</v>
      </c>
      <c r="N130" s="5" t="s">
        <v>5</v>
      </c>
      <c r="O130" s="5" t="s">
        <v>6</v>
      </c>
      <c r="P130" s="5" t="s">
        <v>5</v>
      </c>
      <c r="Q130" s="5" t="s">
        <v>6</v>
      </c>
      <c r="S130" s="5" t="s">
        <v>111</v>
      </c>
      <c r="T130" s="5" t="s">
        <v>112</v>
      </c>
      <c r="U130" s="5" t="s">
        <v>113</v>
      </c>
    </row>
    <row r="131" spans="2:21" x14ac:dyDescent="0.25">
      <c r="B131" s="6" t="s">
        <v>114</v>
      </c>
      <c r="C131" s="14">
        <v>6.6572237960339939E-2</v>
      </c>
      <c r="D131" s="14">
        <v>2.8125000000000001E-2</v>
      </c>
      <c r="K131" s="6" t="s">
        <v>110</v>
      </c>
      <c r="L131" s="14">
        <v>0.31586402266288954</v>
      </c>
      <c r="M131" s="14">
        <v>0.328125</v>
      </c>
      <c r="N131" s="14">
        <v>0.1359773371104816</v>
      </c>
      <c r="O131" s="14">
        <v>0.27812500000000001</v>
      </c>
      <c r="P131" s="14">
        <f>L131+N131</f>
        <v>0.45184135977337114</v>
      </c>
      <c r="Q131" s="14">
        <f>M131+O131</f>
        <v>0.60624999999999996</v>
      </c>
      <c r="S131" s="7">
        <f>M131-L131</f>
        <v>1.2260977337110457E-2</v>
      </c>
      <c r="T131" s="7">
        <f>O131-N131</f>
        <v>0.14214766288951841</v>
      </c>
      <c r="U131" s="7">
        <f>Q131-P131</f>
        <v>0.15440864022662881</v>
      </c>
    </row>
    <row r="132" spans="2:21" x14ac:dyDescent="0.25">
      <c r="B132" s="6" t="s">
        <v>115</v>
      </c>
      <c r="C132" s="14">
        <v>8.4985835694051E-3</v>
      </c>
      <c r="D132" s="14">
        <v>9.3749999999999997E-3</v>
      </c>
      <c r="K132" s="6" t="s">
        <v>114</v>
      </c>
      <c r="L132" s="14">
        <v>1.8413597733711047E-2</v>
      </c>
      <c r="M132" s="14">
        <v>1.2500000000000001E-2</v>
      </c>
      <c r="N132" s="14">
        <v>8.4985835694051E-3</v>
      </c>
      <c r="O132" s="14">
        <v>9.3749999999999997E-3</v>
      </c>
      <c r="P132" s="14">
        <f t="shared" ref="P132:Q150" si="0">L132+N132</f>
        <v>2.6912181303116147E-2</v>
      </c>
      <c r="Q132" s="14">
        <f t="shared" si="0"/>
        <v>2.1874999999999999E-2</v>
      </c>
      <c r="S132" s="7">
        <f t="shared" ref="S132:S150" si="1">M132-L132</f>
        <v>-5.9135977337110464E-3</v>
      </c>
      <c r="T132" s="7">
        <f t="shared" ref="T132:T150" si="2">O132-N132</f>
        <v>8.7641643059489967E-4</v>
      </c>
      <c r="U132" s="7">
        <f t="shared" ref="U132:U150" si="3">Q132-P132</f>
        <v>-5.0371813031161485E-3</v>
      </c>
    </row>
    <row r="133" spans="2:21" x14ac:dyDescent="0.25">
      <c r="B133" s="6" t="s">
        <v>116</v>
      </c>
      <c r="C133" s="14">
        <v>0.86543909348441928</v>
      </c>
      <c r="D133" s="14">
        <v>0.59062499999999996</v>
      </c>
      <c r="K133" s="6" t="s">
        <v>115</v>
      </c>
      <c r="L133" s="14">
        <v>4.24929178470255E-3</v>
      </c>
      <c r="M133" s="14">
        <v>1.2500000000000001E-2</v>
      </c>
      <c r="N133" s="14">
        <v>0</v>
      </c>
      <c r="O133" s="14">
        <v>3.1250000000000002E-3</v>
      </c>
      <c r="P133" s="14">
        <f t="shared" si="0"/>
        <v>4.24929178470255E-3</v>
      </c>
      <c r="Q133" s="14">
        <f t="shared" si="0"/>
        <v>1.5625E-2</v>
      </c>
      <c r="S133" s="7">
        <f t="shared" si="1"/>
        <v>8.2507082152974507E-3</v>
      </c>
      <c r="T133" s="7">
        <f t="shared" si="2"/>
        <v>3.1250000000000002E-3</v>
      </c>
      <c r="U133" s="7">
        <f t="shared" si="3"/>
        <v>1.137570821529745E-2</v>
      </c>
    </row>
    <row r="134" spans="2:21" x14ac:dyDescent="0.25">
      <c r="B134" s="6" t="s">
        <v>117</v>
      </c>
      <c r="C134" s="14">
        <v>0.26628895184135976</v>
      </c>
      <c r="D134" s="14">
        <v>8.7499999999999994E-2</v>
      </c>
      <c r="K134" s="6" t="s">
        <v>116</v>
      </c>
      <c r="L134" s="14">
        <v>0.60339943342776203</v>
      </c>
      <c r="M134" s="14">
        <v>0.328125</v>
      </c>
      <c r="N134" s="14">
        <v>0.17280453257790368</v>
      </c>
      <c r="O134" s="14">
        <v>0.23125000000000001</v>
      </c>
      <c r="P134" s="14">
        <f t="shared" si="0"/>
        <v>0.77620396600566566</v>
      </c>
      <c r="Q134" s="14">
        <f t="shared" si="0"/>
        <v>0.55937499999999996</v>
      </c>
      <c r="S134" s="7">
        <f t="shared" si="1"/>
        <v>-0.27527443342776203</v>
      </c>
      <c r="T134" s="7">
        <f t="shared" si="2"/>
        <v>5.8445467422096331E-2</v>
      </c>
      <c r="U134" s="7">
        <f t="shared" si="3"/>
        <v>-0.2168289660056657</v>
      </c>
    </row>
    <row r="135" spans="2:21" x14ac:dyDescent="0.25">
      <c r="B135" s="6" t="s">
        <v>118</v>
      </c>
      <c r="C135" s="14">
        <v>0.79036827195467418</v>
      </c>
      <c r="D135" s="14">
        <v>0.58125000000000004</v>
      </c>
      <c r="K135" s="6" t="s">
        <v>117</v>
      </c>
      <c r="L135" s="14">
        <v>0.17422096317280453</v>
      </c>
      <c r="M135" s="14">
        <v>7.4999999999999997E-2</v>
      </c>
      <c r="N135" s="14">
        <v>4.6742209631728045E-2</v>
      </c>
      <c r="O135" s="14">
        <v>2.5000000000000001E-2</v>
      </c>
      <c r="P135" s="14">
        <f t="shared" si="0"/>
        <v>0.22096317280453256</v>
      </c>
      <c r="Q135" s="14">
        <f t="shared" si="0"/>
        <v>0.1</v>
      </c>
      <c r="S135" s="7">
        <f t="shared" si="1"/>
        <v>-9.922096317280453E-2</v>
      </c>
      <c r="T135" s="7">
        <f t="shared" si="2"/>
        <v>-2.1742209631728043E-2</v>
      </c>
      <c r="U135" s="7">
        <f t="shared" si="3"/>
        <v>-0.12096317280453256</v>
      </c>
    </row>
    <row r="136" spans="2:21" x14ac:dyDescent="0.25">
      <c r="B136" s="6" t="s">
        <v>119</v>
      </c>
      <c r="C136" s="14">
        <v>3.2577903682719546E-2</v>
      </c>
      <c r="D136" s="14">
        <v>4.0625000000000001E-2</v>
      </c>
      <c r="K136" s="6" t="s">
        <v>118</v>
      </c>
      <c r="L136" s="14">
        <v>0.50283286118980175</v>
      </c>
      <c r="M136" s="14">
        <v>0.44374999999999998</v>
      </c>
      <c r="N136" s="14">
        <v>8.4985835694050993E-2</v>
      </c>
      <c r="O136" s="14">
        <v>7.8125E-2</v>
      </c>
      <c r="P136" s="14">
        <f t="shared" si="0"/>
        <v>0.5878186968838528</v>
      </c>
      <c r="Q136" s="14">
        <f t="shared" si="0"/>
        <v>0.52187499999999998</v>
      </c>
      <c r="S136" s="7">
        <f t="shared" si="1"/>
        <v>-5.9082861189801772E-2</v>
      </c>
      <c r="T136" s="7">
        <f t="shared" si="2"/>
        <v>-6.8608356940509929E-3</v>
      </c>
      <c r="U136" s="7">
        <f t="shared" si="3"/>
        <v>-6.594369688385282E-2</v>
      </c>
    </row>
    <row r="137" spans="2:21" x14ac:dyDescent="0.25">
      <c r="B137" s="6" t="s">
        <v>120</v>
      </c>
      <c r="C137" s="14">
        <v>0.53399433427762044</v>
      </c>
      <c r="D137" s="14">
        <v>0.64687499999999998</v>
      </c>
      <c r="K137" s="6" t="s">
        <v>119</v>
      </c>
      <c r="L137" s="14">
        <v>1.4164305949008499E-2</v>
      </c>
      <c r="M137" s="14">
        <v>4.0625000000000001E-2</v>
      </c>
      <c r="N137" s="14">
        <v>0</v>
      </c>
      <c r="O137" s="14">
        <v>6.2500000000000003E-3</v>
      </c>
      <c r="P137" s="14">
        <f t="shared" si="0"/>
        <v>1.4164305949008499E-2</v>
      </c>
      <c r="Q137" s="14">
        <f t="shared" si="0"/>
        <v>4.6875E-2</v>
      </c>
      <c r="S137" s="7">
        <f t="shared" si="1"/>
        <v>2.6460694050991503E-2</v>
      </c>
      <c r="T137" s="7">
        <f t="shared" si="2"/>
        <v>6.2500000000000003E-3</v>
      </c>
      <c r="U137" s="7">
        <f t="shared" si="3"/>
        <v>3.2710694050991501E-2</v>
      </c>
    </row>
    <row r="138" spans="2:21" x14ac:dyDescent="0.25">
      <c r="B138" s="6" t="s">
        <v>121</v>
      </c>
      <c r="C138" s="14">
        <v>0.98866855524079322</v>
      </c>
      <c r="D138" s="14">
        <v>0.96875</v>
      </c>
      <c r="K138" s="6" t="s">
        <v>120</v>
      </c>
      <c r="L138" s="14">
        <v>0.35552407932011332</v>
      </c>
      <c r="M138" s="14">
        <v>0.28749999999999998</v>
      </c>
      <c r="N138" s="14">
        <v>9.2067988668555242E-2</v>
      </c>
      <c r="O138" s="14">
        <v>0.31562499999999999</v>
      </c>
      <c r="P138" s="14">
        <f t="shared" si="0"/>
        <v>0.44759206798866857</v>
      </c>
      <c r="Q138" s="14">
        <f t="shared" si="0"/>
        <v>0.60312499999999991</v>
      </c>
      <c r="S138" s="7">
        <f t="shared" si="1"/>
        <v>-6.802407932011334E-2</v>
      </c>
      <c r="T138" s="7">
        <f t="shared" si="2"/>
        <v>0.22355701133144473</v>
      </c>
      <c r="U138" s="7">
        <f t="shared" si="3"/>
        <v>0.15553293201133134</v>
      </c>
    </row>
    <row r="139" spans="2:21" x14ac:dyDescent="0.25">
      <c r="B139" s="6" t="s">
        <v>122</v>
      </c>
      <c r="C139" s="14">
        <v>0.21104815864022664</v>
      </c>
      <c r="D139" s="14">
        <v>0.19062499999999999</v>
      </c>
      <c r="K139" s="6" t="s">
        <v>121</v>
      </c>
      <c r="L139" s="14">
        <v>0.5382436260623229</v>
      </c>
      <c r="M139" s="14">
        <v>0.34062500000000001</v>
      </c>
      <c r="N139" s="14">
        <v>0.3895184135977337</v>
      </c>
      <c r="O139" s="14">
        <v>0.56874999999999998</v>
      </c>
      <c r="P139" s="14">
        <f t="shared" si="0"/>
        <v>0.92776203966005655</v>
      </c>
      <c r="Q139" s="14">
        <f t="shared" si="0"/>
        <v>0.90937500000000004</v>
      </c>
      <c r="S139" s="7">
        <f t="shared" si="1"/>
        <v>-0.19761862606232289</v>
      </c>
      <c r="T139" s="7">
        <f t="shared" si="2"/>
        <v>0.17923158640226627</v>
      </c>
      <c r="U139" s="7">
        <f t="shared" si="3"/>
        <v>-1.8387039660056503E-2</v>
      </c>
    </row>
    <row r="140" spans="2:21" x14ac:dyDescent="0.25">
      <c r="B140" s="6" t="s">
        <v>123</v>
      </c>
      <c r="C140" s="14">
        <v>1.4164305949008499E-3</v>
      </c>
      <c r="D140" s="14">
        <v>3.125E-2</v>
      </c>
      <c r="K140" s="6" t="s">
        <v>122</v>
      </c>
      <c r="L140" s="14">
        <v>0.15155807365439095</v>
      </c>
      <c r="M140" s="14">
        <v>0.121875</v>
      </c>
      <c r="N140" s="14">
        <v>2.5495750708215296E-2</v>
      </c>
      <c r="O140" s="14">
        <v>6.5625000000000003E-2</v>
      </c>
      <c r="P140" s="14">
        <f t="shared" si="0"/>
        <v>0.17705382436260625</v>
      </c>
      <c r="Q140" s="14">
        <f t="shared" si="0"/>
        <v>0.1875</v>
      </c>
      <c r="S140" s="7">
        <f t="shared" si="1"/>
        <v>-2.9683073654390948E-2</v>
      </c>
      <c r="T140" s="7">
        <f t="shared" si="2"/>
        <v>4.0129249291784706E-2</v>
      </c>
      <c r="U140" s="7">
        <f t="shared" si="3"/>
        <v>1.0446175637393751E-2</v>
      </c>
    </row>
    <row r="141" spans="2:21" x14ac:dyDescent="0.25">
      <c r="B141" s="6" t="s">
        <v>124</v>
      </c>
      <c r="C141" s="14">
        <v>0.95184135977337114</v>
      </c>
      <c r="D141" s="14">
        <v>0.76249999999999996</v>
      </c>
      <c r="K141" s="6" t="s">
        <v>123</v>
      </c>
      <c r="L141" s="14">
        <v>0</v>
      </c>
      <c r="M141" s="14">
        <v>2.1874999999999999E-2</v>
      </c>
      <c r="N141" s="14">
        <v>0</v>
      </c>
      <c r="O141" s="14">
        <v>1.2500000000000001E-2</v>
      </c>
      <c r="P141" s="14">
        <f t="shared" si="0"/>
        <v>0</v>
      </c>
      <c r="Q141" s="14">
        <f t="shared" si="0"/>
        <v>3.4375000000000003E-2</v>
      </c>
      <c r="S141" s="7">
        <f t="shared" si="1"/>
        <v>2.1874999999999999E-2</v>
      </c>
      <c r="T141" s="7">
        <f t="shared" si="2"/>
        <v>1.2500000000000001E-2</v>
      </c>
      <c r="U141" s="7">
        <f t="shared" si="3"/>
        <v>3.4375000000000003E-2</v>
      </c>
    </row>
    <row r="142" spans="2:21" x14ac:dyDescent="0.25">
      <c r="B142" s="6" t="s">
        <v>125</v>
      </c>
      <c r="C142" s="14">
        <v>0.50708215297450421</v>
      </c>
      <c r="D142" s="14">
        <v>0.65312499999999996</v>
      </c>
      <c r="K142" s="6" t="s">
        <v>124</v>
      </c>
      <c r="L142" s="14">
        <v>0.62322946175637395</v>
      </c>
      <c r="M142" s="14">
        <v>0.51875000000000004</v>
      </c>
      <c r="N142" s="14">
        <v>0.13314447592067988</v>
      </c>
      <c r="O142" s="14">
        <v>0.16250000000000001</v>
      </c>
      <c r="P142" s="14">
        <f t="shared" si="0"/>
        <v>0.75637393767705385</v>
      </c>
      <c r="Q142" s="14">
        <f t="shared" si="0"/>
        <v>0.68125000000000002</v>
      </c>
      <c r="S142" s="7">
        <f t="shared" si="1"/>
        <v>-0.1044794617563739</v>
      </c>
      <c r="T142" s="7">
        <f t="shared" si="2"/>
        <v>2.9355524079320128E-2</v>
      </c>
      <c r="U142" s="7">
        <f t="shared" si="3"/>
        <v>-7.5123937677053831E-2</v>
      </c>
    </row>
    <row r="143" spans="2:21" x14ac:dyDescent="0.25">
      <c r="B143" s="6" t="s">
        <v>126</v>
      </c>
      <c r="C143" s="14">
        <v>0.12039660056657224</v>
      </c>
      <c r="D143" s="14">
        <v>0.66562500000000002</v>
      </c>
      <c r="K143" s="6" t="s">
        <v>125</v>
      </c>
      <c r="L143" s="14">
        <v>0.35269121813031162</v>
      </c>
      <c r="M143" s="14">
        <v>0.3125</v>
      </c>
      <c r="N143" s="14">
        <v>0.12322946175637393</v>
      </c>
      <c r="O143" s="14">
        <v>0.30625000000000002</v>
      </c>
      <c r="P143" s="14">
        <f t="shared" si="0"/>
        <v>0.47592067988668557</v>
      </c>
      <c r="Q143" s="14">
        <f t="shared" si="0"/>
        <v>0.61875000000000002</v>
      </c>
      <c r="S143" s="7">
        <f t="shared" si="1"/>
        <v>-4.0191218130311623E-2</v>
      </c>
      <c r="T143" s="7">
        <f t="shared" si="2"/>
        <v>0.18302053824362607</v>
      </c>
      <c r="U143" s="7">
        <f t="shared" si="3"/>
        <v>0.14282932011331445</v>
      </c>
    </row>
    <row r="144" spans="2:21" x14ac:dyDescent="0.25">
      <c r="B144" s="6" t="s">
        <v>127</v>
      </c>
      <c r="C144" s="14">
        <v>0.96600566572237956</v>
      </c>
      <c r="D144" s="14">
        <v>0.859375</v>
      </c>
      <c r="K144" s="6" t="s">
        <v>126</v>
      </c>
      <c r="L144" s="14">
        <v>8.0736543909348438E-2</v>
      </c>
      <c r="M144" s="14">
        <v>0.26250000000000001</v>
      </c>
      <c r="N144" s="14">
        <v>3.5410764872521247E-2</v>
      </c>
      <c r="O144" s="14">
        <v>0.39687499999999998</v>
      </c>
      <c r="P144" s="14">
        <f t="shared" si="0"/>
        <v>0.11614730878186968</v>
      </c>
      <c r="Q144" s="14">
        <f t="shared" si="0"/>
        <v>0.65937500000000004</v>
      </c>
      <c r="S144" s="7">
        <f t="shared" si="1"/>
        <v>0.18176345609065159</v>
      </c>
      <c r="T144" s="7">
        <f t="shared" si="2"/>
        <v>0.36146423512747872</v>
      </c>
      <c r="U144" s="7">
        <f t="shared" si="3"/>
        <v>0.54322769121813042</v>
      </c>
    </row>
    <row r="145" spans="2:21" x14ac:dyDescent="0.25">
      <c r="B145" s="6" t="s">
        <v>128</v>
      </c>
      <c r="C145" s="14">
        <v>9.4900849858356937E-2</v>
      </c>
      <c r="D145" s="14">
        <v>7.1874999999999994E-2</v>
      </c>
      <c r="K145" s="6" t="s">
        <v>127</v>
      </c>
      <c r="L145" s="14">
        <v>0.6643059490084986</v>
      </c>
      <c r="M145" s="14">
        <v>0.51875000000000004</v>
      </c>
      <c r="N145" s="14">
        <v>0.17988668555240794</v>
      </c>
      <c r="O145" s="14">
        <v>0.28437499999999999</v>
      </c>
      <c r="P145" s="14">
        <f t="shared" si="0"/>
        <v>0.84419263456090654</v>
      </c>
      <c r="Q145" s="14">
        <f t="shared" si="0"/>
        <v>0.80312500000000009</v>
      </c>
      <c r="S145" s="7">
        <f t="shared" si="1"/>
        <v>-0.14555594900849855</v>
      </c>
      <c r="T145" s="7">
        <f t="shared" si="2"/>
        <v>0.10448831444759205</v>
      </c>
      <c r="U145" s="7">
        <f t="shared" si="3"/>
        <v>-4.1067634560906452E-2</v>
      </c>
    </row>
    <row r="146" spans="2:21" x14ac:dyDescent="0.25">
      <c r="B146" s="6" t="s">
        <v>129</v>
      </c>
      <c r="C146" s="14">
        <v>3.6827195467422094E-2</v>
      </c>
      <c r="D146" s="14">
        <v>2.1874999999999999E-2</v>
      </c>
      <c r="K146" s="6" t="s">
        <v>128</v>
      </c>
      <c r="L146" s="14">
        <v>6.2322946175637391E-2</v>
      </c>
      <c r="M146" s="14">
        <v>5.9374999999999997E-2</v>
      </c>
      <c r="N146" s="14">
        <v>5.6657223796033997E-3</v>
      </c>
      <c r="O146" s="14">
        <v>6.2500000000000003E-3</v>
      </c>
      <c r="P146" s="14">
        <f t="shared" si="0"/>
        <v>6.7988668555240786E-2</v>
      </c>
      <c r="Q146" s="14">
        <f t="shared" si="0"/>
        <v>6.5625000000000003E-2</v>
      </c>
      <c r="S146" s="7">
        <f t="shared" si="1"/>
        <v>-2.9479461756373934E-3</v>
      </c>
      <c r="T146" s="7">
        <f t="shared" si="2"/>
        <v>5.8427762039660065E-4</v>
      </c>
      <c r="U146" s="7">
        <f t="shared" si="3"/>
        <v>-2.3636685552407832E-3</v>
      </c>
    </row>
    <row r="147" spans="2:21" x14ac:dyDescent="0.25">
      <c r="B147" s="6" t="s">
        <v>130</v>
      </c>
      <c r="C147" s="14">
        <v>4.2492917847025496E-2</v>
      </c>
      <c r="D147" s="14">
        <v>2.1874999999999999E-2</v>
      </c>
      <c r="K147" s="6" t="s">
        <v>129</v>
      </c>
      <c r="L147" s="14">
        <v>1.9830028328611898E-2</v>
      </c>
      <c r="M147" s="14">
        <v>1.8749999999999999E-2</v>
      </c>
      <c r="N147" s="14">
        <v>1.5580736543909348E-2</v>
      </c>
      <c r="O147" s="14">
        <v>3.1250000000000002E-3</v>
      </c>
      <c r="P147" s="14">
        <f t="shared" si="0"/>
        <v>3.5410764872521247E-2</v>
      </c>
      <c r="Q147" s="14">
        <f t="shared" si="0"/>
        <v>2.1874999999999999E-2</v>
      </c>
      <c r="S147" s="7">
        <f t="shared" si="1"/>
        <v>-1.0800283286118983E-3</v>
      </c>
      <c r="T147" s="7">
        <f t="shared" si="2"/>
        <v>-1.2455736543909347E-2</v>
      </c>
      <c r="U147" s="7">
        <f t="shared" si="3"/>
        <v>-1.3535764872521248E-2</v>
      </c>
    </row>
    <row r="148" spans="2:21" x14ac:dyDescent="0.25">
      <c r="B148" s="6" t="s">
        <v>131</v>
      </c>
      <c r="C148" s="14">
        <v>0.85552407932011332</v>
      </c>
      <c r="D148" s="14">
        <v>0.90312499999999996</v>
      </c>
      <c r="K148" s="6" t="s">
        <v>130</v>
      </c>
      <c r="L148" s="14">
        <v>2.4079320113314446E-2</v>
      </c>
      <c r="M148" s="14">
        <v>1.2500000000000001E-2</v>
      </c>
      <c r="N148" s="14">
        <v>1.69971671388102E-2</v>
      </c>
      <c r="O148" s="14">
        <v>3.1250000000000002E-3</v>
      </c>
      <c r="P148" s="14">
        <f t="shared" si="0"/>
        <v>4.1076487252124649E-2</v>
      </c>
      <c r="Q148" s="14">
        <f t="shared" si="0"/>
        <v>1.5625E-2</v>
      </c>
      <c r="S148" s="7">
        <f t="shared" si="1"/>
        <v>-1.1579320113314445E-2</v>
      </c>
      <c r="T148" s="7">
        <f t="shared" si="2"/>
        <v>-1.3872167138810201E-2</v>
      </c>
      <c r="U148" s="7">
        <f t="shared" si="3"/>
        <v>-2.5451487252124649E-2</v>
      </c>
    </row>
    <row r="149" spans="2:21" x14ac:dyDescent="0.25">
      <c r="B149" s="6" t="s">
        <v>132</v>
      </c>
      <c r="C149" s="14">
        <v>7.7903682719546744E-2</v>
      </c>
      <c r="D149" s="14">
        <v>8.4375000000000006E-2</v>
      </c>
      <c r="K149" s="6" t="s">
        <v>131</v>
      </c>
      <c r="L149" s="14">
        <v>0.27903682719546741</v>
      </c>
      <c r="M149" s="14">
        <v>0.20937500000000001</v>
      </c>
      <c r="N149" s="14">
        <v>0.47025495750708213</v>
      </c>
      <c r="O149" s="14">
        <v>0.625</v>
      </c>
      <c r="P149" s="14">
        <f t="shared" si="0"/>
        <v>0.74929178470254953</v>
      </c>
      <c r="Q149" s="14">
        <f t="shared" si="0"/>
        <v>0.83437499999999998</v>
      </c>
      <c r="S149" s="7">
        <f t="shared" si="1"/>
        <v>-6.9661827195467402E-2</v>
      </c>
      <c r="T149" s="7">
        <f t="shared" si="2"/>
        <v>0.15474504249291787</v>
      </c>
      <c r="U149" s="7">
        <f t="shared" si="3"/>
        <v>8.5083215297450443E-2</v>
      </c>
    </row>
    <row r="150" spans="2:21" x14ac:dyDescent="0.25">
      <c r="K150" s="6" t="s">
        <v>132</v>
      </c>
      <c r="L150" s="14">
        <v>4.1076487252124649E-2</v>
      </c>
      <c r="M150" s="14">
        <v>5.3124999999999999E-2</v>
      </c>
      <c r="N150" s="14">
        <v>2.1246458923512748E-2</v>
      </c>
      <c r="O150" s="14">
        <v>3.4375000000000003E-2</v>
      </c>
      <c r="P150" s="14">
        <f t="shared" si="0"/>
        <v>6.2322946175637398E-2</v>
      </c>
      <c r="Q150" s="14">
        <f t="shared" si="0"/>
        <v>8.7499999999999994E-2</v>
      </c>
      <c r="S150" s="7">
        <f t="shared" si="1"/>
        <v>1.2048512747875349E-2</v>
      </c>
      <c r="T150" s="7">
        <f t="shared" si="2"/>
        <v>1.3128541076487255E-2</v>
      </c>
      <c r="U150" s="7">
        <f t="shared" si="3"/>
        <v>2.5177053824362597E-2</v>
      </c>
    </row>
    <row r="152" spans="2:21" x14ac:dyDescent="0.25">
      <c r="B152" s="4" t="s">
        <v>133</v>
      </c>
      <c r="K152" s="4" t="s">
        <v>134</v>
      </c>
    </row>
    <row r="153" spans="2:21" x14ac:dyDescent="0.25">
      <c r="C153" s="15" t="s">
        <v>135</v>
      </c>
      <c r="D153" s="16"/>
      <c r="E153" s="15" t="s">
        <v>136</v>
      </c>
      <c r="F153" s="16"/>
      <c r="L153" s="13" t="s">
        <v>137</v>
      </c>
      <c r="M153" s="13"/>
      <c r="N153" s="13" t="s">
        <v>138</v>
      </c>
      <c r="O153" s="13"/>
    </row>
    <row r="154" spans="2:21" x14ac:dyDescent="0.25">
      <c r="C154" s="5" t="s">
        <v>5</v>
      </c>
      <c r="D154" s="5" t="s">
        <v>6</v>
      </c>
      <c r="E154" s="5" t="s">
        <v>5</v>
      </c>
      <c r="F154" s="5" t="s">
        <v>6</v>
      </c>
      <c r="H154" s="5" t="s">
        <v>139</v>
      </c>
      <c r="I154" s="5" t="s">
        <v>140</v>
      </c>
      <c r="L154" s="5" t="s">
        <v>5</v>
      </c>
      <c r="M154" s="5" t="s">
        <v>6</v>
      </c>
      <c r="N154" s="5" t="s">
        <v>5</v>
      </c>
      <c r="O154" s="5" t="s">
        <v>6</v>
      </c>
      <c r="S154" s="5" t="s">
        <v>141</v>
      </c>
      <c r="T154" s="5" t="s">
        <v>142</v>
      </c>
    </row>
    <row r="155" spans="2:21" x14ac:dyDescent="0.25">
      <c r="B155" s="6" t="s">
        <v>110</v>
      </c>
      <c r="C155" s="14">
        <v>0.88714733542319746</v>
      </c>
      <c r="D155" s="14">
        <v>0.83505154639175261</v>
      </c>
      <c r="E155" s="14">
        <v>0.37617554858934171</v>
      </c>
      <c r="F155" s="14">
        <v>0.59278350515463918</v>
      </c>
      <c r="H155" s="7">
        <f>D155-C155</f>
        <v>-5.209578903144485E-2</v>
      </c>
      <c r="I155" s="7">
        <f>F155-E155</f>
        <v>0.21660795656529747</v>
      </c>
      <c r="K155" s="6" t="s">
        <v>143</v>
      </c>
      <c r="L155" s="14">
        <v>0.16147308781869688</v>
      </c>
      <c r="M155" s="14">
        <v>0.25937500000000002</v>
      </c>
      <c r="N155" s="14">
        <v>0.73553719008264462</v>
      </c>
      <c r="O155" s="14">
        <v>0.875</v>
      </c>
      <c r="S155" s="7">
        <f>M155-L155</f>
        <v>9.7901912181303147E-2</v>
      </c>
      <c r="T155" s="7">
        <f>O155-N155</f>
        <v>0.13946280991735538</v>
      </c>
    </row>
    <row r="156" spans="2:21" x14ac:dyDescent="0.25">
      <c r="B156" s="6" t="s">
        <v>114</v>
      </c>
      <c r="C156" s="14">
        <v>0.47368421052631576</v>
      </c>
      <c r="D156" s="14">
        <v>0.5714285714285714</v>
      </c>
      <c r="E156" s="14">
        <v>0.31578947368421051</v>
      </c>
      <c r="F156" s="14">
        <v>0.42857142857142855</v>
      </c>
      <c r="H156" s="7">
        <f t="shared" ref="H156:H174" si="4">D156-C156</f>
        <v>9.7744360902255634E-2</v>
      </c>
      <c r="I156" s="7">
        <f t="shared" ref="I156:I174" si="5">F156-E156</f>
        <v>0.11278195488721804</v>
      </c>
      <c r="K156" s="6" t="s">
        <v>144</v>
      </c>
      <c r="L156" s="14">
        <v>0.18555240793201133</v>
      </c>
      <c r="M156" s="14">
        <v>0.19687499999999999</v>
      </c>
      <c r="N156" s="14">
        <v>0.84732824427480913</v>
      </c>
      <c r="O156" s="14">
        <v>0.98412698412698407</v>
      </c>
      <c r="S156" s="7">
        <f t="shared" ref="S156:S162" si="6">M156-L156</f>
        <v>1.1322592067988663E-2</v>
      </c>
      <c r="T156" s="7">
        <f t="shared" ref="T156:T162" si="7">O156-N156</f>
        <v>0.13679873985217494</v>
      </c>
    </row>
    <row r="157" spans="2:21" x14ac:dyDescent="0.25">
      <c r="B157" s="6" t="s">
        <v>115</v>
      </c>
      <c r="C157" s="14">
        <v>0.33333333333333331</v>
      </c>
      <c r="D157" s="14">
        <v>0.2</v>
      </c>
      <c r="E157" s="14">
        <v>0.33333333333333331</v>
      </c>
      <c r="F157" s="14">
        <v>0</v>
      </c>
      <c r="H157" s="7">
        <f t="shared" si="4"/>
        <v>-0.1333333333333333</v>
      </c>
      <c r="I157" s="7">
        <f t="shared" si="5"/>
        <v>-0.33333333333333331</v>
      </c>
      <c r="K157" s="6" t="s">
        <v>145</v>
      </c>
      <c r="L157" s="14">
        <v>8.4985835694050993E-2</v>
      </c>
      <c r="M157" s="14">
        <v>0.25624999999999998</v>
      </c>
      <c r="N157" s="14">
        <v>0.8833333333333333</v>
      </c>
      <c r="O157" s="14">
        <v>0.95121951219512191</v>
      </c>
      <c r="S157" s="7">
        <f t="shared" si="6"/>
        <v>0.17126416430594898</v>
      </c>
      <c r="T157" s="7">
        <f t="shared" si="7"/>
        <v>6.7886178861788604E-2</v>
      </c>
    </row>
    <row r="158" spans="2:21" x14ac:dyDescent="0.25">
      <c r="B158" s="6" t="s">
        <v>116</v>
      </c>
      <c r="C158" s="14">
        <v>0.89963503649635035</v>
      </c>
      <c r="D158" s="14">
        <v>0.87150837988826813</v>
      </c>
      <c r="E158" s="14">
        <v>0.31386861313868614</v>
      </c>
      <c r="F158" s="14">
        <v>0.44692737430167595</v>
      </c>
      <c r="H158" s="7">
        <f t="shared" si="4"/>
        <v>-2.8126656608082223E-2</v>
      </c>
      <c r="I158" s="7">
        <f t="shared" si="5"/>
        <v>0.13305876116298981</v>
      </c>
      <c r="K158" s="6" t="s">
        <v>146</v>
      </c>
      <c r="L158" s="14">
        <v>0.56657223796033995</v>
      </c>
      <c r="M158" s="14">
        <v>0.50312500000000004</v>
      </c>
      <c r="N158" s="14">
        <v>0.93500000000000005</v>
      </c>
      <c r="O158" s="14">
        <v>0.99378881987577639</v>
      </c>
      <c r="S158" s="7">
        <f t="shared" si="6"/>
        <v>-6.3447237960339908E-2</v>
      </c>
      <c r="T158" s="7">
        <f t="shared" si="7"/>
        <v>5.8788819875776333E-2</v>
      </c>
    </row>
    <row r="159" spans="2:21" x14ac:dyDescent="0.25">
      <c r="B159" s="6" t="s">
        <v>117</v>
      </c>
      <c r="C159" s="14">
        <v>0.92307692307692313</v>
      </c>
      <c r="D159" s="14">
        <v>0.84375</v>
      </c>
      <c r="E159" s="14">
        <v>0.28846153846153844</v>
      </c>
      <c r="F159" s="14">
        <v>0.34375</v>
      </c>
      <c r="H159" s="7">
        <f t="shared" si="4"/>
        <v>-7.9326923076923128E-2</v>
      </c>
      <c r="I159" s="7">
        <f t="shared" si="5"/>
        <v>5.5288461538461564E-2</v>
      </c>
      <c r="K159" s="6" t="s">
        <v>147</v>
      </c>
      <c r="L159" s="14">
        <v>0.24504249291784702</v>
      </c>
      <c r="M159" s="14">
        <v>0.24374999999999999</v>
      </c>
      <c r="N159" s="14">
        <v>0.93063583815028905</v>
      </c>
      <c r="O159" s="14">
        <v>0.98717948717948723</v>
      </c>
      <c r="S159" s="7">
        <f t="shared" si="6"/>
        <v>-1.2924929178470268E-3</v>
      </c>
      <c r="T159" s="7">
        <f t="shared" si="7"/>
        <v>5.6543649029198173E-2</v>
      </c>
    </row>
    <row r="160" spans="2:21" x14ac:dyDescent="0.25">
      <c r="B160" s="6" t="s">
        <v>118</v>
      </c>
      <c r="C160" s="14">
        <v>0.87710843373493974</v>
      </c>
      <c r="D160" s="14">
        <v>0.70658682634730541</v>
      </c>
      <c r="E160" s="14">
        <v>0.75903614457831325</v>
      </c>
      <c r="F160" s="14">
        <v>0.79041916167664672</v>
      </c>
      <c r="H160" s="7">
        <f t="shared" si="4"/>
        <v>-0.17052160738763433</v>
      </c>
      <c r="I160" s="7">
        <f t="shared" si="5"/>
        <v>3.1383017098333466E-2</v>
      </c>
      <c r="K160" s="6" t="s">
        <v>148</v>
      </c>
      <c r="L160" s="14">
        <v>2.6912181303116147E-2</v>
      </c>
      <c r="M160" s="14">
        <v>0</v>
      </c>
      <c r="N160" s="14">
        <v>0.84210526315789469</v>
      </c>
      <c r="O160" s="14">
        <v>0.84210526315789469</v>
      </c>
      <c r="S160" s="7">
        <f t="shared" si="6"/>
        <v>-2.6912181303116147E-2</v>
      </c>
      <c r="T160" s="7">
        <f t="shared" si="7"/>
        <v>0</v>
      </c>
    </row>
    <row r="161" spans="2:20" x14ac:dyDescent="0.25">
      <c r="B161" s="6" t="s">
        <v>119</v>
      </c>
      <c r="C161" s="14">
        <v>0.5</v>
      </c>
      <c r="D161" s="14">
        <v>0.46666666666666667</v>
      </c>
      <c r="E161" s="14">
        <v>0.2</v>
      </c>
      <c r="F161" s="14">
        <v>6.6666666666666666E-2</v>
      </c>
      <c r="H161" s="7">
        <f t="shared" si="4"/>
        <v>-3.3333333333333326E-2</v>
      </c>
      <c r="I161" s="7">
        <f t="shared" si="5"/>
        <v>-0.13333333333333336</v>
      </c>
      <c r="K161" s="6" t="s">
        <v>149</v>
      </c>
      <c r="L161" s="14">
        <v>2.5495750708215296E-2</v>
      </c>
      <c r="M161" s="14">
        <v>9.3749999999999997E-3</v>
      </c>
      <c r="N161" s="14">
        <v>0.77777777777777779</v>
      </c>
      <c r="O161" s="14">
        <v>1</v>
      </c>
      <c r="S161" s="7">
        <f t="shared" si="6"/>
        <v>-1.6120750708215295E-2</v>
      </c>
      <c r="T161" s="7">
        <f t="shared" si="7"/>
        <v>0.22222222222222221</v>
      </c>
    </row>
    <row r="162" spans="2:20" x14ac:dyDescent="0.25">
      <c r="B162" s="6" t="s">
        <v>120</v>
      </c>
      <c r="C162" s="14">
        <v>0.84810126582278478</v>
      </c>
      <c r="D162" s="14">
        <v>0.8393782383419689</v>
      </c>
      <c r="E162" s="14">
        <v>0.32278481012658228</v>
      </c>
      <c r="F162" s="14">
        <v>0.33160621761658032</v>
      </c>
      <c r="H162" s="7">
        <f t="shared" si="4"/>
        <v>-8.7230274808158814E-3</v>
      </c>
      <c r="I162" s="7">
        <f t="shared" si="5"/>
        <v>8.8214074899980455E-3</v>
      </c>
      <c r="K162" s="6" t="s">
        <v>150</v>
      </c>
      <c r="L162" s="14">
        <v>0.32152974504249293</v>
      </c>
      <c r="M162" s="14">
        <v>0.5</v>
      </c>
      <c r="N162" s="14">
        <v>0.94713656387665202</v>
      </c>
      <c r="O162" s="14">
        <v>1</v>
      </c>
      <c r="S162" s="7">
        <f t="shared" si="6"/>
        <v>0.17847025495750707</v>
      </c>
      <c r="T162" s="7">
        <f t="shared" si="7"/>
        <v>5.2863436123347984E-2</v>
      </c>
    </row>
    <row r="163" spans="2:20" x14ac:dyDescent="0.25">
      <c r="B163" s="6" t="s">
        <v>121</v>
      </c>
      <c r="C163" s="14">
        <v>0.9221374045801527</v>
      </c>
      <c r="D163" s="14">
        <v>0.92783505154639179</v>
      </c>
      <c r="E163" s="14">
        <v>0.4351145038167939</v>
      </c>
      <c r="F163" s="14">
        <v>0.54982817869415812</v>
      </c>
      <c r="H163" s="7">
        <f t="shared" si="4"/>
        <v>5.6976469662390894E-3</v>
      </c>
      <c r="I163" s="7">
        <f t="shared" si="5"/>
        <v>0.11471367487736422</v>
      </c>
    </row>
    <row r="164" spans="2:20" x14ac:dyDescent="0.25">
      <c r="B164" s="6" t="s">
        <v>122</v>
      </c>
      <c r="C164" s="14">
        <v>0.93600000000000005</v>
      </c>
      <c r="D164" s="14">
        <v>0.81666666666666665</v>
      </c>
      <c r="E164" s="14">
        <v>0.72</v>
      </c>
      <c r="F164" s="14">
        <v>0.56666666666666665</v>
      </c>
      <c r="H164" s="7">
        <f t="shared" si="4"/>
        <v>-0.1193333333333334</v>
      </c>
      <c r="I164" s="7">
        <f t="shared" si="5"/>
        <v>-0.15333333333333332</v>
      </c>
    </row>
    <row r="165" spans="2:20" x14ac:dyDescent="0.25">
      <c r="B165" s="6" t="s">
        <v>123</v>
      </c>
      <c r="C165" s="14">
        <v>0.45454545454545453</v>
      </c>
      <c r="D165" s="14">
        <v>0.45454545454545453</v>
      </c>
      <c r="E165" s="14">
        <v>0.27272727272727271</v>
      </c>
      <c r="F165" s="14">
        <v>0.27272727272727271</v>
      </c>
      <c r="H165" s="7">
        <f t="shared" si="4"/>
        <v>0</v>
      </c>
      <c r="I165" s="7">
        <f t="shared" si="5"/>
        <v>0</v>
      </c>
    </row>
    <row r="166" spans="2:20" x14ac:dyDescent="0.25">
      <c r="B166" s="6" t="s">
        <v>124</v>
      </c>
      <c r="C166" s="14">
        <v>0.8707865168539326</v>
      </c>
      <c r="D166" s="14">
        <v>0.79357798165137616</v>
      </c>
      <c r="E166" s="14">
        <v>0.23595505617977527</v>
      </c>
      <c r="F166" s="14">
        <v>0.24770642201834864</v>
      </c>
      <c r="H166" s="7">
        <f t="shared" si="4"/>
        <v>-7.7208535202556439E-2</v>
      </c>
      <c r="I166" s="7">
        <f t="shared" si="5"/>
        <v>1.1751365838573363E-2</v>
      </c>
    </row>
    <row r="167" spans="2:20" x14ac:dyDescent="0.25">
      <c r="B167" s="6" t="s">
        <v>125</v>
      </c>
      <c r="C167" s="14">
        <v>0.93452380952380953</v>
      </c>
      <c r="D167" s="14">
        <v>0.88383838383838387</v>
      </c>
      <c r="E167" s="14">
        <v>0.26785714285714285</v>
      </c>
      <c r="F167" s="14">
        <v>0.42424242424242425</v>
      </c>
      <c r="H167" s="7">
        <f t="shared" si="4"/>
        <v>-5.0685425685425667E-2</v>
      </c>
      <c r="I167" s="7">
        <f t="shared" si="5"/>
        <v>0.1563852813852814</v>
      </c>
    </row>
    <row r="168" spans="2:20" x14ac:dyDescent="0.25">
      <c r="B168" s="6" t="s">
        <v>126</v>
      </c>
      <c r="C168" s="14">
        <v>0.96341463414634143</v>
      </c>
      <c r="D168" s="14">
        <v>0.96682464454976302</v>
      </c>
      <c r="E168" s="14">
        <v>0.26829268292682928</v>
      </c>
      <c r="F168" s="14">
        <v>0.36492890995260663</v>
      </c>
      <c r="H168" s="7">
        <f t="shared" si="4"/>
        <v>3.4100104034215928E-3</v>
      </c>
      <c r="I168" s="7">
        <f t="shared" si="5"/>
        <v>9.6636227025777344E-2</v>
      </c>
    </row>
    <row r="169" spans="2:20" x14ac:dyDescent="0.25">
      <c r="B169" s="6" t="s">
        <v>127</v>
      </c>
      <c r="C169" s="14">
        <v>0.90604026845637586</v>
      </c>
      <c r="D169" s="14">
        <v>0.81712062256809337</v>
      </c>
      <c r="E169" s="14">
        <v>0.30201342281879195</v>
      </c>
      <c r="F169" s="14">
        <v>0.35797665369649806</v>
      </c>
      <c r="H169" s="7">
        <f t="shared" si="4"/>
        <v>-8.8919645888282495E-2</v>
      </c>
      <c r="I169" s="7">
        <f t="shared" si="5"/>
        <v>5.5963230877706105E-2</v>
      </c>
    </row>
    <row r="170" spans="2:20" x14ac:dyDescent="0.25">
      <c r="B170" s="6" t="s">
        <v>128</v>
      </c>
      <c r="C170" s="14">
        <v>0.79166666666666663</v>
      </c>
      <c r="D170" s="14">
        <v>0.66666666666666663</v>
      </c>
      <c r="E170" s="14">
        <v>0.14583333333333334</v>
      </c>
      <c r="F170" s="14">
        <v>0.14285714285714285</v>
      </c>
      <c r="H170" s="7">
        <f t="shared" si="4"/>
        <v>-0.125</v>
      </c>
      <c r="I170" s="7">
        <f t="shared" si="5"/>
        <v>-2.9761904761904934E-3</v>
      </c>
    </row>
    <row r="171" spans="2:20" x14ac:dyDescent="0.25">
      <c r="B171" s="6" t="s">
        <v>129</v>
      </c>
      <c r="C171" s="14">
        <v>0.88</v>
      </c>
      <c r="D171" s="14">
        <v>0.5714285714285714</v>
      </c>
      <c r="E171" s="14">
        <v>0.48</v>
      </c>
      <c r="F171" s="14">
        <v>0.2857142857142857</v>
      </c>
      <c r="H171" s="7">
        <f t="shared" si="4"/>
        <v>-0.30857142857142861</v>
      </c>
      <c r="I171" s="7">
        <f t="shared" si="5"/>
        <v>-0.19428571428571428</v>
      </c>
    </row>
    <row r="172" spans="2:20" x14ac:dyDescent="0.25">
      <c r="B172" s="6" t="s">
        <v>130</v>
      </c>
      <c r="C172" s="14">
        <v>0.89655172413793105</v>
      </c>
      <c r="D172" s="14">
        <v>0.8</v>
      </c>
      <c r="E172" s="14">
        <v>0.48275862068965519</v>
      </c>
      <c r="F172" s="14">
        <v>0.4</v>
      </c>
      <c r="H172" s="7">
        <f t="shared" si="4"/>
        <v>-9.6551724137931005E-2</v>
      </c>
      <c r="I172" s="7">
        <f t="shared" si="5"/>
        <v>-8.2758620689655171E-2</v>
      </c>
    </row>
    <row r="173" spans="2:20" x14ac:dyDescent="0.25">
      <c r="B173" s="6" t="s">
        <v>131</v>
      </c>
      <c r="C173" s="14">
        <v>0.92438563327032142</v>
      </c>
      <c r="D173" s="14">
        <v>0.96254681647940077</v>
      </c>
      <c r="E173" s="14">
        <v>0.4839319470699433</v>
      </c>
      <c r="F173" s="14">
        <v>0.64794007490636707</v>
      </c>
      <c r="H173" s="7">
        <f t="shared" si="4"/>
        <v>3.8161183209079352E-2</v>
      </c>
      <c r="I173" s="7">
        <f t="shared" si="5"/>
        <v>0.16400812783642377</v>
      </c>
    </row>
    <row r="174" spans="2:20" x14ac:dyDescent="0.25">
      <c r="B174" s="6" t="s">
        <v>132</v>
      </c>
      <c r="C174" s="14">
        <v>0.75</v>
      </c>
      <c r="D174" s="14">
        <v>0.7857142857142857</v>
      </c>
      <c r="E174" s="14">
        <v>0.36363636363636365</v>
      </c>
      <c r="F174" s="14">
        <v>0.25</v>
      </c>
      <c r="H174" s="7">
        <f t="shared" si="4"/>
        <v>3.5714285714285698E-2</v>
      </c>
      <c r="I174" s="7">
        <f t="shared" si="5"/>
        <v>-0.11363636363636365</v>
      </c>
    </row>
    <row r="176" spans="2:20" x14ac:dyDescent="0.25">
      <c r="B176" s="4" t="s">
        <v>151</v>
      </c>
      <c r="K176" s="4" t="s">
        <v>152</v>
      </c>
    </row>
    <row r="177" spans="2:13" x14ac:dyDescent="0.25">
      <c r="C177" s="5" t="s">
        <v>5</v>
      </c>
      <c r="D177" s="5" t="s">
        <v>6</v>
      </c>
      <c r="L177" s="5" t="s">
        <v>5</v>
      </c>
      <c r="M177" s="5" t="s">
        <v>6</v>
      </c>
    </row>
    <row r="178" spans="2:13" x14ac:dyDescent="0.25">
      <c r="B178" s="17">
        <v>0</v>
      </c>
      <c r="C178" s="14">
        <v>0.24079320113314448</v>
      </c>
      <c r="D178" s="14">
        <v>0.15937499999999999</v>
      </c>
      <c r="K178" s="17" t="s">
        <v>153</v>
      </c>
      <c r="L178" s="14">
        <v>0.92688172043010753</v>
      </c>
      <c r="M178" s="14">
        <v>0.73366834170854267</v>
      </c>
    </row>
    <row r="179" spans="2:13" x14ac:dyDescent="0.25">
      <c r="B179" s="17">
        <v>1</v>
      </c>
      <c r="C179" s="14">
        <v>0.27053824362606232</v>
      </c>
      <c r="D179" s="14">
        <v>0.32500000000000001</v>
      </c>
      <c r="K179" s="17" t="s">
        <v>154</v>
      </c>
      <c r="L179" s="14">
        <v>6.0215053763440864E-2</v>
      </c>
      <c r="M179" s="14">
        <v>0.19597989949748743</v>
      </c>
    </row>
    <row r="180" spans="2:13" x14ac:dyDescent="0.25">
      <c r="B180" s="17">
        <v>2</v>
      </c>
      <c r="C180" s="14">
        <v>0.25495750708215298</v>
      </c>
      <c r="D180" s="14">
        <v>0.203125</v>
      </c>
      <c r="K180" s="17" t="s">
        <v>155</v>
      </c>
      <c r="L180" s="14">
        <v>1.2903225806451613E-2</v>
      </c>
      <c r="M180" s="14">
        <v>7.0351758793969849E-2</v>
      </c>
    </row>
    <row r="181" spans="2:13" x14ac:dyDescent="0.25">
      <c r="B181" s="17" t="s">
        <v>156</v>
      </c>
      <c r="C181" s="14">
        <v>0.18555240793201133</v>
      </c>
      <c r="D181" s="14">
        <v>0.12812499999999999</v>
      </c>
    </row>
    <row r="182" spans="2:13" x14ac:dyDescent="0.25">
      <c r="B182" s="17" t="s">
        <v>157</v>
      </c>
      <c r="C182" s="14">
        <v>4.1076487252124649E-2</v>
      </c>
      <c r="D182" s="14">
        <v>3.7499999999999999E-2</v>
      </c>
    </row>
    <row r="183" spans="2:13" x14ac:dyDescent="0.25">
      <c r="B183" s="17" t="s">
        <v>158</v>
      </c>
      <c r="C183" s="14">
        <v>7.0821529745042494E-3</v>
      </c>
      <c r="D183" s="14">
        <v>1.5625E-2</v>
      </c>
    </row>
    <row r="185" spans="2:13" x14ac:dyDescent="0.25">
      <c r="B185" s="4" t="s">
        <v>159</v>
      </c>
    </row>
    <row r="186" spans="2:13" x14ac:dyDescent="0.25">
      <c r="C186" s="5" t="s">
        <v>5</v>
      </c>
      <c r="D186" s="5" t="s">
        <v>6</v>
      </c>
    </row>
    <row r="187" spans="2:13" x14ac:dyDescent="0.25">
      <c r="B187" s="17" t="s">
        <v>46</v>
      </c>
      <c r="C187" s="14">
        <v>0.92505353319057815</v>
      </c>
      <c r="D187" s="14">
        <v>0.8040201005025126</v>
      </c>
    </row>
    <row r="188" spans="2:13" x14ac:dyDescent="0.25">
      <c r="B188" s="17" t="s">
        <v>47</v>
      </c>
      <c r="C188" s="14">
        <v>7.4946466809421838E-2</v>
      </c>
      <c r="D188" s="14">
        <v>0.19597989949748743</v>
      </c>
    </row>
    <row r="191" spans="2:13" ht="21" x14ac:dyDescent="0.35">
      <c r="B191" s="3" t="s">
        <v>160</v>
      </c>
    </row>
    <row r="194" spans="2:13" x14ac:dyDescent="0.25">
      <c r="B194" s="4" t="s">
        <v>161</v>
      </c>
      <c r="K194" s="4" t="s">
        <v>162</v>
      </c>
    </row>
    <row r="195" spans="2:13" x14ac:dyDescent="0.25">
      <c r="C195" s="5" t="s">
        <v>5</v>
      </c>
      <c r="D195" s="5" t="s">
        <v>6</v>
      </c>
      <c r="L195" s="5" t="s">
        <v>5</v>
      </c>
      <c r="M195" s="5" t="s">
        <v>6</v>
      </c>
    </row>
    <row r="196" spans="2:13" x14ac:dyDescent="0.25">
      <c r="B196" s="17" t="s">
        <v>46</v>
      </c>
      <c r="C196" s="14">
        <v>0.19688385269121814</v>
      </c>
      <c r="D196" s="14">
        <v>0.32187500000000002</v>
      </c>
      <c r="K196" s="17" t="s">
        <v>46</v>
      </c>
      <c r="L196" s="14">
        <v>0.43100995732574682</v>
      </c>
      <c r="M196" s="14">
        <v>0.93437499999999996</v>
      </c>
    </row>
    <row r="197" spans="2:13" x14ac:dyDescent="0.25">
      <c r="B197" s="17" t="s">
        <v>47</v>
      </c>
      <c r="C197" s="14">
        <v>0.56940509915014159</v>
      </c>
      <c r="D197" s="14">
        <v>0.63124999999999998</v>
      </c>
      <c r="K197" s="17" t="s">
        <v>47</v>
      </c>
      <c r="L197" s="14">
        <v>0.56899004267425324</v>
      </c>
      <c r="M197" s="14">
        <v>6.5625000000000003E-2</v>
      </c>
    </row>
    <row r="198" spans="2:13" x14ac:dyDescent="0.25">
      <c r="B198" s="17" t="s">
        <v>95</v>
      </c>
      <c r="C198" s="14">
        <v>0.23371104815864022</v>
      </c>
      <c r="D198" s="14">
        <v>4.6875E-2</v>
      </c>
    </row>
    <row r="200" spans="2:13" x14ac:dyDescent="0.25">
      <c r="B200" s="4" t="s">
        <v>163</v>
      </c>
      <c r="K200" s="4" t="s">
        <v>164</v>
      </c>
    </row>
    <row r="201" spans="2:13" x14ac:dyDescent="0.25">
      <c r="C201" s="5" t="s">
        <v>5</v>
      </c>
      <c r="D201" s="5" t="s">
        <v>6</v>
      </c>
      <c r="L201" s="5" t="s">
        <v>5</v>
      </c>
      <c r="M201" s="5" t="s">
        <v>6</v>
      </c>
    </row>
    <row r="202" spans="2:13" x14ac:dyDescent="0.25">
      <c r="B202" s="17" t="s">
        <v>165</v>
      </c>
      <c r="C202" s="14">
        <v>1.3245033112582781E-2</v>
      </c>
      <c r="D202" s="14">
        <v>2.0134228187919462E-2</v>
      </c>
      <c r="K202" s="17" t="s">
        <v>166</v>
      </c>
      <c r="L202" s="14">
        <v>0.14666666666666667</v>
      </c>
      <c r="M202" s="14">
        <v>0.12416107382550336</v>
      </c>
    </row>
    <row r="203" spans="2:13" x14ac:dyDescent="0.25">
      <c r="B203" s="17" t="s">
        <v>167</v>
      </c>
      <c r="C203" s="14">
        <v>0.52649006622516559</v>
      </c>
      <c r="D203" s="14">
        <v>0.91946308724832215</v>
      </c>
      <c r="K203" s="17" t="s">
        <v>168</v>
      </c>
      <c r="L203" s="14">
        <v>0.60666666666666669</v>
      </c>
      <c r="M203" s="14">
        <v>0.74832214765100669</v>
      </c>
    </row>
    <row r="204" spans="2:13" x14ac:dyDescent="0.25">
      <c r="B204" s="17" t="s">
        <v>169</v>
      </c>
      <c r="C204" s="14">
        <v>0.20860927152317882</v>
      </c>
      <c r="D204" s="14">
        <v>1.0067114093959731E-2</v>
      </c>
      <c r="K204" s="17" t="s">
        <v>170</v>
      </c>
      <c r="L204" s="14">
        <v>0.14000000000000001</v>
      </c>
      <c r="M204" s="14">
        <v>5.0335570469798654E-2</v>
      </c>
    </row>
    <row r="205" spans="2:13" x14ac:dyDescent="0.25">
      <c r="B205" s="17" t="s">
        <v>171</v>
      </c>
      <c r="C205" s="14">
        <v>3.3112582781456954E-3</v>
      </c>
      <c r="D205" s="14">
        <v>3.3557046979865771E-3</v>
      </c>
      <c r="K205" s="17" t="s">
        <v>172</v>
      </c>
      <c r="L205" s="14">
        <v>0.10666666666666667</v>
      </c>
      <c r="M205" s="14">
        <v>7.7181208053691275E-2</v>
      </c>
    </row>
    <row r="206" spans="2:13" x14ac:dyDescent="0.25">
      <c r="B206" s="17" t="s">
        <v>173</v>
      </c>
      <c r="C206" s="14">
        <v>0.24834437086092714</v>
      </c>
      <c r="D206" s="14">
        <v>4.6979865771812082E-2</v>
      </c>
    </row>
    <row r="208" spans="2:13" x14ac:dyDescent="0.25">
      <c r="B208" s="4" t="s">
        <v>174</v>
      </c>
      <c r="K208" s="4" t="s">
        <v>175</v>
      </c>
    </row>
    <row r="209" spans="2:13" x14ac:dyDescent="0.25">
      <c r="C209" s="5" t="s">
        <v>5</v>
      </c>
      <c r="D209" s="5" t="s">
        <v>6</v>
      </c>
      <c r="L209" s="5" t="s">
        <v>5</v>
      </c>
      <c r="M209" s="5" t="s">
        <v>6</v>
      </c>
    </row>
    <row r="210" spans="2:13" x14ac:dyDescent="0.25">
      <c r="B210" s="17" t="s">
        <v>176</v>
      </c>
      <c r="C210" s="14">
        <v>0.12871287128712872</v>
      </c>
      <c r="D210" s="14">
        <v>0</v>
      </c>
      <c r="K210" s="17" t="s">
        <v>166</v>
      </c>
      <c r="L210" s="14">
        <v>1.3333333333333334E-2</v>
      </c>
      <c r="M210" s="14">
        <v>1.0033444816053512E-2</v>
      </c>
    </row>
    <row r="211" spans="2:13" x14ac:dyDescent="0.25">
      <c r="B211" s="17" t="s">
        <v>177</v>
      </c>
      <c r="C211" s="14">
        <v>0.14521452145214522</v>
      </c>
      <c r="D211" s="14">
        <v>2.6845637583892617E-2</v>
      </c>
      <c r="K211" s="17" t="s">
        <v>168</v>
      </c>
      <c r="L211" s="14">
        <v>0.10666666666666667</v>
      </c>
      <c r="M211" s="14">
        <v>0.14715719063545152</v>
      </c>
    </row>
    <row r="212" spans="2:13" x14ac:dyDescent="0.25">
      <c r="B212" s="17" t="s">
        <v>178</v>
      </c>
      <c r="C212" s="14">
        <v>6.9306930693069313E-2</v>
      </c>
      <c r="D212" s="14">
        <v>3.6912751677852351E-2</v>
      </c>
      <c r="K212" s="17" t="s">
        <v>170</v>
      </c>
      <c r="L212" s="14">
        <v>0.15333333333333332</v>
      </c>
      <c r="M212" s="14">
        <v>0.16722408026755853</v>
      </c>
    </row>
    <row r="213" spans="2:13" x14ac:dyDescent="0.25">
      <c r="B213" s="17" t="s">
        <v>179</v>
      </c>
      <c r="C213" s="14">
        <v>0.23432343234323433</v>
      </c>
      <c r="D213" s="14">
        <v>3.6912751677852351E-2</v>
      </c>
      <c r="K213" s="17" t="s">
        <v>172</v>
      </c>
      <c r="L213" s="14">
        <v>0.72666666666666668</v>
      </c>
      <c r="M213" s="14">
        <v>0.67558528428093645</v>
      </c>
    </row>
    <row r="214" spans="2:13" x14ac:dyDescent="0.25">
      <c r="B214" s="17" t="s">
        <v>180</v>
      </c>
      <c r="C214" s="14">
        <v>8.2508250825082508E-2</v>
      </c>
      <c r="D214" s="14">
        <v>1.6778523489932886E-2</v>
      </c>
    </row>
    <row r="215" spans="2:13" x14ac:dyDescent="0.25">
      <c r="B215" s="17" t="s">
        <v>181</v>
      </c>
      <c r="C215" s="14">
        <v>0.43564356435643564</v>
      </c>
      <c r="D215" s="14">
        <v>0.97986577181208057</v>
      </c>
    </row>
    <row r="217" spans="2:13" x14ac:dyDescent="0.25">
      <c r="B217" s="4" t="s">
        <v>182</v>
      </c>
      <c r="K217" s="4" t="s">
        <v>183</v>
      </c>
    </row>
    <row r="218" spans="2:13" x14ac:dyDescent="0.25">
      <c r="C218" s="5" t="s">
        <v>5</v>
      </c>
      <c r="D218" s="5" t="s">
        <v>6</v>
      </c>
      <c r="L218" s="5" t="s">
        <v>5</v>
      </c>
      <c r="M218" s="5" t="s">
        <v>6</v>
      </c>
    </row>
    <row r="219" spans="2:13" x14ac:dyDescent="0.25">
      <c r="B219" s="17" t="s">
        <v>184</v>
      </c>
      <c r="C219" s="14">
        <v>0.18151815181518152</v>
      </c>
      <c r="D219" s="14">
        <v>0.12374581939799331</v>
      </c>
      <c r="K219" s="17" t="s">
        <v>46</v>
      </c>
      <c r="L219" s="14">
        <v>0.10115606936416185</v>
      </c>
      <c r="M219" s="14">
        <v>0.15723270440251572</v>
      </c>
    </row>
    <row r="220" spans="2:13" x14ac:dyDescent="0.25">
      <c r="B220" s="17" t="s">
        <v>185</v>
      </c>
      <c r="C220" s="14">
        <v>0.46204620462046203</v>
      </c>
      <c r="D220" s="14">
        <v>0.28428093645484948</v>
      </c>
      <c r="K220" s="17" t="s">
        <v>47</v>
      </c>
      <c r="L220" s="14">
        <v>0.71098265895953761</v>
      </c>
      <c r="M220" s="14">
        <v>0.80503144654088055</v>
      </c>
    </row>
    <row r="221" spans="2:13" x14ac:dyDescent="0.25">
      <c r="B221" s="17" t="s">
        <v>186</v>
      </c>
      <c r="C221" s="14">
        <v>0.64026402640264024</v>
      </c>
      <c r="D221" s="14">
        <v>0.17725752508361203</v>
      </c>
      <c r="K221" s="17" t="s">
        <v>95</v>
      </c>
      <c r="L221" s="14">
        <v>0.18786127167630057</v>
      </c>
      <c r="M221" s="14">
        <v>3.7735849056603772E-2</v>
      </c>
    </row>
    <row r="222" spans="2:13" x14ac:dyDescent="0.25">
      <c r="B222" s="17" t="s">
        <v>187</v>
      </c>
      <c r="C222" s="14">
        <v>0.1254125412541254</v>
      </c>
      <c r="D222" s="14">
        <v>0.10702341137123746</v>
      </c>
    </row>
    <row r="223" spans="2:13" x14ac:dyDescent="0.25">
      <c r="B223" s="17" t="s">
        <v>188</v>
      </c>
      <c r="C223" s="14">
        <v>0.10231023102310231</v>
      </c>
      <c r="D223" s="14">
        <v>0.6387959866220736</v>
      </c>
      <c r="K223" s="6" t="s">
        <v>189</v>
      </c>
      <c r="L223" s="18">
        <v>32906.028985507248</v>
      </c>
      <c r="M223" s="18">
        <v>12653.081632653062</v>
      </c>
    </row>
    <row r="224" spans="2:13" x14ac:dyDescent="0.25">
      <c r="B224" s="17" t="s">
        <v>190</v>
      </c>
      <c r="C224" s="14">
        <v>0.10891089108910891</v>
      </c>
      <c r="D224" s="14">
        <v>0.30434782608695654</v>
      </c>
    </row>
    <row r="225" spans="2:20" x14ac:dyDescent="0.25">
      <c r="B225" s="17" t="s">
        <v>191</v>
      </c>
      <c r="C225" s="14">
        <v>0.24092409240924093</v>
      </c>
      <c r="D225" s="14">
        <v>3.678929765886288E-2</v>
      </c>
    </row>
    <row r="227" spans="2:20" x14ac:dyDescent="0.25">
      <c r="B227" s="4" t="s">
        <v>192</v>
      </c>
      <c r="K227" s="4" t="s">
        <v>193</v>
      </c>
    </row>
    <row r="228" spans="2:20" x14ac:dyDescent="0.25">
      <c r="C228" s="5" t="s">
        <v>5</v>
      </c>
      <c r="D228" s="5" t="s">
        <v>6</v>
      </c>
      <c r="L228" s="5" t="s">
        <v>5</v>
      </c>
      <c r="M228" s="5" t="s">
        <v>6</v>
      </c>
    </row>
    <row r="229" spans="2:20" x14ac:dyDescent="0.25">
      <c r="B229" s="17" t="s">
        <v>46</v>
      </c>
      <c r="C229" s="14">
        <v>0.28034682080924855</v>
      </c>
      <c r="D229" s="14">
        <v>0.79062500000000002</v>
      </c>
      <c r="K229" s="17" t="s">
        <v>194</v>
      </c>
      <c r="L229" s="14">
        <v>0.16230366492146597</v>
      </c>
      <c r="M229" s="14">
        <v>2.3715415019762844E-2</v>
      </c>
    </row>
    <row r="230" spans="2:20" x14ac:dyDescent="0.25">
      <c r="B230" s="17" t="s">
        <v>47</v>
      </c>
      <c r="C230" s="14">
        <v>0.71965317919075145</v>
      </c>
      <c r="D230" s="14">
        <v>0.20937500000000001</v>
      </c>
      <c r="K230" s="17" t="s">
        <v>178</v>
      </c>
      <c r="L230" s="14">
        <v>3.6649214659685861E-2</v>
      </c>
      <c r="M230" s="14">
        <v>0</v>
      </c>
    </row>
    <row r="231" spans="2:20" x14ac:dyDescent="0.25">
      <c r="K231" s="17" t="s">
        <v>195</v>
      </c>
      <c r="L231" s="14">
        <v>0.24607329842931938</v>
      </c>
      <c r="M231" s="14">
        <v>3.9525691699604744E-2</v>
      </c>
    </row>
    <row r="232" spans="2:20" x14ac:dyDescent="0.25">
      <c r="B232" s="6" t="s">
        <v>189</v>
      </c>
      <c r="C232" s="18">
        <v>28184.455958549224</v>
      </c>
      <c r="D232" s="18">
        <v>8013.833992094862</v>
      </c>
      <c r="K232" s="17" t="s">
        <v>180</v>
      </c>
      <c r="L232" s="14">
        <v>5.7591623036649213E-2</v>
      </c>
      <c r="M232" s="14">
        <v>3.952569169960474E-3</v>
      </c>
    </row>
    <row r="233" spans="2:20" x14ac:dyDescent="0.25">
      <c r="K233" s="17" t="s">
        <v>181</v>
      </c>
      <c r="L233" s="14">
        <v>0.49738219895287961</v>
      </c>
      <c r="M233" s="14">
        <v>0.93280632411067199</v>
      </c>
    </row>
    <row r="235" spans="2:20" ht="21" x14ac:dyDescent="0.35">
      <c r="B235" s="3" t="s">
        <v>196</v>
      </c>
    </row>
    <row r="237" spans="2:20" x14ac:dyDescent="0.25">
      <c r="B237" s="4" t="s">
        <v>197</v>
      </c>
      <c r="K237" s="4" t="s">
        <v>198</v>
      </c>
    </row>
    <row r="238" spans="2:20" x14ac:dyDescent="0.25">
      <c r="C238" s="5" t="s">
        <v>5</v>
      </c>
      <c r="D238" s="5" t="s">
        <v>6</v>
      </c>
      <c r="F238" s="5" t="s">
        <v>199</v>
      </c>
      <c r="L238" s="13" t="s">
        <v>200</v>
      </c>
      <c r="M238" s="13"/>
      <c r="N238" s="13" t="s">
        <v>201</v>
      </c>
      <c r="O238" s="13"/>
    </row>
    <row r="239" spans="2:20" x14ac:dyDescent="0.25">
      <c r="B239" s="17" t="s">
        <v>202</v>
      </c>
      <c r="C239" s="14">
        <v>0.14447592067988668</v>
      </c>
      <c r="D239" s="14">
        <v>0.60624999999999996</v>
      </c>
      <c r="F239" s="19">
        <f>D239-C239</f>
        <v>0.46177407932011327</v>
      </c>
      <c r="L239" s="5" t="s">
        <v>5</v>
      </c>
      <c r="M239" s="5" t="s">
        <v>6</v>
      </c>
      <c r="N239" s="5" t="s">
        <v>5</v>
      </c>
      <c r="O239" s="5" t="s">
        <v>6</v>
      </c>
      <c r="S239" s="5" t="s">
        <v>203</v>
      </c>
      <c r="T239" s="5" t="s">
        <v>204</v>
      </c>
    </row>
    <row r="240" spans="2:20" x14ac:dyDescent="0.25">
      <c r="B240" s="17" t="s">
        <v>205</v>
      </c>
      <c r="C240" s="14">
        <v>0.22662889518413598</v>
      </c>
      <c r="D240" s="14">
        <v>0.64687499999999998</v>
      </c>
      <c r="F240" s="19">
        <f t="shared" ref="F240:F248" si="8">D240-C240</f>
        <v>0.420246104815864</v>
      </c>
      <c r="K240" s="17" t="s">
        <v>206</v>
      </c>
      <c r="L240" s="14">
        <v>0.83286118980169976</v>
      </c>
      <c r="M240" s="14">
        <v>0.37187499999999996</v>
      </c>
      <c r="N240" s="14">
        <v>1.69971671388102E-2</v>
      </c>
      <c r="O240" s="14">
        <v>2.1899999999999999E-2</v>
      </c>
      <c r="S240" s="19">
        <f>M240-L240</f>
        <v>-0.46098618980169981</v>
      </c>
      <c r="T240" s="19">
        <f>O240-N240</f>
        <v>4.9028328611897994E-3</v>
      </c>
    </row>
    <row r="241" spans="2:20" x14ac:dyDescent="0.25">
      <c r="B241" s="17" t="s">
        <v>207</v>
      </c>
      <c r="C241" s="14">
        <v>0.13456090651558072</v>
      </c>
      <c r="D241" s="14">
        <v>0.66874999999999996</v>
      </c>
      <c r="F241" s="19">
        <f t="shared" si="8"/>
        <v>0.53418909348441923</v>
      </c>
      <c r="K241" s="17" t="s">
        <v>205</v>
      </c>
      <c r="L241" s="14">
        <v>0.10339943342776203</v>
      </c>
      <c r="M241" s="14">
        <v>4.6875E-2</v>
      </c>
      <c r="N241" s="14">
        <v>0.6699716713881021</v>
      </c>
      <c r="O241" s="14">
        <v>0.30624999999999997</v>
      </c>
      <c r="S241" s="19">
        <f t="shared" ref="S241:S249" si="9">M241-L241</f>
        <v>-5.6524433427762033E-2</v>
      </c>
      <c r="T241" s="19">
        <f t="shared" ref="T241:T249" si="10">O241-N241</f>
        <v>-0.36372167138810213</v>
      </c>
    </row>
    <row r="242" spans="2:20" x14ac:dyDescent="0.25">
      <c r="B242" s="17" t="s">
        <v>208</v>
      </c>
      <c r="C242" s="14">
        <v>0.43342776203966005</v>
      </c>
      <c r="D242" s="14">
        <v>0.66874999999999996</v>
      </c>
      <c r="F242" s="19">
        <f t="shared" si="8"/>
        <v>0.23532223796033991</v>
      </c>
      <c r="K242" s="17" t="s">
        <v>207</v>
      </c>
      <c r="L242" s="14">
        <v>0.85269121813031168</v>
      </c>
      <c r="M242" s="14">
        <v>0.32499999999999996</v>
      </c>
      <c r="N242" s="14">
        <v>1.1331444759206799E-2</v>
      </c>
      <c r="O242" s="14">
        <v>6.2500000000000003E-3</v>
      </c>
      <c r="S242" s="19">
        <f t="shared" si="9"/>
        <v>-0.52769121813031172</v>
      </c>
      <c r="T242" s="19">
        <f t="shared" si="10"/>
        <v>-5.0814447592067991E-3</v>
      </c>
    </row>
    <row r="243" spans="2:20" x14ac:dyDescent="0.25">
      <c r="B243" s="17" t="s">
        <v>209</v>
      </c>
      <c r="C243" s="14">
        <v>0.37393767705382436</v>
      </c>
      <c r="D243" s="14">
        <v>0.72499999999999998</v>
      </c>
      <c r="F243" s="19">
        <f t="shared" si="8"/>
        <v>0.35106232294617562</v>
      </c>
      <c r="K243" s="17" t="s">
        <v>208</v>
      </c>
      <c r="L243" s="14">
        <v>0.11189801699716714</v>
      </c>
      <c r="M243" s="14">
        <v>5.9374999999999997E-2</v>
      </c>
      <c r="N243" s="14">
        <v>0.39376770538243627</v>
      </c>
      <c r="O243" s="14">
        <v>0.19375000000000001</v>
      </c>
      <c r="S243" s="19">
        <f t="shared" si="9"/>
        <v>-5.2523016997167146E-2</v>
      </c>
      <c r="T243" s="19">
        <f t="shared" si="10"/>
        <v>-0.20001770538243627</v>
      </c>
    </row>
    <row r="244" spans="2:20" x14ac:dyDescent="0.25">
      <c r="B244" s="17" t="s">
        <v>210</v>
      </c>
      <c r="C244" s="14">
        <v>0.57223796033994334</v>
      </c>
      <c r="D244" s="14">
        <v>0.78749999999999998</v>
      </c>
      <c r="F244" s="19">
        <f t="shared" si="8"/>
        <v>0.21526203966005664</v>
      </c>
      <c r="K244" s="17" t="s">
        <v>209</v>
      </c>
      <c r="L244" s="14">
        <v>0.54957507082152979</v>
      </c>
      <c r="M244" s="14">
        <v>0.22500000000000001</v>
      </c>
      <c r="N244" s="14">
        <v>1.1331444759206799E-2</v>
      </c>
      <c r="O244" s="14">
        <v>1.2500000000000001E-2</v>
      </c>
      <c r="S244" s="19">
        <f t="shared" si="9"/>
        <v>-0.32457507082152981</v>
      </c>
      <c r="T244" s="19">
        <f t="shared" si="10"/>
        <v>1.1685552407932013E-3</v>
      </c>
    </row>
    <row r="245" spans="2:20" x14ac:dyDescent="0.25">
      <c r="B245" s="17" t="s">
        <v>211</v>
      </c>
      <c r="C245" s="14">
        <v>0.12464589235127478</v>
      </c>
      <c r="D245" s="14">
        <v>0.71250000000000002</v>
      </c>
      <c r="F245" s="19">
        <f t="shared" si="8"/>
        <v>0.58785410764872525</v>
      </c>
      <c r="K245" s="17" t="s">
        <v>210</v>
      </c>
      <c r="L245" s="14">
        <v>0.30169971671388102</v>
      </c>
      <c r="M245" s="14">
        <v>0.109375</v>
      </c>
      <c r="N245" s="14">
        <v>0.11614730878186968</v>
      </c>
      <c r="O245" s="14">
        <v>0.1</v>
      </c>
      <c r="S245" s="19">
        <f t="shared" si="9"/>
        <v>-0.19232471671388102</v>
      </c>
      <c r="T245" s="19">
        <f t="shared" si="10"/>
        <v>-1.6147308781869679E-2</v>
      </c>
    </row>
    <row r="246" spans="2:20" x14ac:dyDescent="0.25">
      <c r="B246" s="17" t="s">
        <v>212</v>
      </c>
      <c r="C246" s="14">
        <v>0.26487252124645894</v>
      </c>
      <c r="D246" s="14">
        <v>0.72187500000000004</v>
      </c>
      <c r="F246" s="19">
        <f t="shared" si="8"/>
        <v>0.45700247875354111</v>
      </c>
      <c r="K246" s="17" t="s">
        <v>211</v>
      </c>
      <c r="L246" s="14">
        <v>0.86968838526912184</v>
      </c>
      <c r="M246" s="14">
        <v>0.28749999999999998</v>
      </c>
      <c r="N246" s="14">
        <v>5.6657223796033997E-3</v>
      </c>
      <c r="O246" s="14">
        <v>0</v>
      </c>
      <c r="S246" s="19">
        <f t="shared" si="9"/>
        <v>-0.58218838526912187</v>
      </c>
      <c r="T246" s="19">
        <f t="shared" si="10"/>
        <v>-5.6657223796033997E-3</v>
      </c>
    </row>
    <row r="247" spans="2:20" x14ac:dyDescent="0.25">
      <c r="B247" s="17" t="s">
        <v>213</v>
      </c>
      <c r="C247" s="14">
        <v>0.21388101983002833</v>
      </c>
      <c r="D247" s="14">
        <v>0.77812499999999996</v>
      </c>
      <c r="F247" s="19">
        <f t="shared" si="8"/>
        <v>0.56424398016997168</v>
      </c>
      <c r="K247" s="17" t="s">
        <v>212</v>
      </c>
      <c r="L247" s="14">
        <v>0.70679886685552407</v>
      </c>
      <c r="M247" s="14">
        <v>0.25312499999999999</v>
      </c>
      <c r="N247" s="14">
        <v>1.5580736543909349E-2</v>
      </c>
      <c r="O247" s="14">
        <v>3.1250000000000002E-3</v>
      </c>
      <c r="S247" s="19">
        <f t="shared" si="9"/>
        <v>-0.45367386685552408</v>
      </c>
      <c r="T247" s="19">
        <f t="shared" si="10"/>
        <v>-1.245573654390935E-2</v>
      </c>
    </row>
    <row r="248" spans="2:20" x14ac:dyDescent="0.25">
      <c r="B248" s="17" t="s">
        <v>214</v>
      </c>
      <c r="C248" s="14">
        <v>0.15580736543909349</v>
      </c>
      <c r="D248" s="14">
        <v>0.67812499999999998</v>
      </c>
      <c r="F248" s="19">
        <f t="shared" si="8"/>
        <v>0.52231763456090652</v>
      </c>
      <c r="K248" s="17" t="s">
        <v>213</v>
      </c>
      <c r="L248" s="14">
        <v>0.76628895184135981</v>
      </c>
      <c r="M248" s="14">
        <v>0.22187499999999999</v>
      </c>
      <c r="N248" s="14">
        <v>1.1331444759206799E-2</v>
      </c>
      <c r="O248" s="14">
        <v>0</v>
      </c>
      <c r="S248" s="19">
        <f t="shared" si="9"/>
        <v>-0.54441395184135977</v>
      </c>
      <c r="T248" s="19">
        <f t="shared" si="10"/>
        <v>-1.1331444759206799E-2</v>
      </c>
    </row>
    <row r="249" spans="2:20" x14ac:dyDescent="0.25">
      <c r="K249" s="17" t="s">
        <v>214</v>
      </c>
      <c r="L249" s="14">
        <v>0.83427762039660058</v>
      </c>
      <c r="M249" s="14">
        <v>0.30937500000000001</v>
      </c>
      <c r="N249" s="14">
        <v>8.4985835694051E-3</v>
      </c>
      <c r="O249" s="14">
        <v>1.2500000000000001E-2</v>
      </c>
      <c r="S249" s="19">
        <f t="shared" si="9"/>
        <v>-0.52490262039660052</v>
      </c>
      <c r="T249" s="19">
        <f t="shared" si="10"/>
        <v>4.0014164305949007E-3</v>
      </c>
    </row>
    <row r="251" spans="2:20" x14ac:dyDescent="0.25">
      <c r="B251" s="4" t="s">
        <v>215</v>
      </c>
      <c r="K251" s="4" t="s">
        <v>216</v>
      </c>
    </row>
    <row r="252" spans="2:20" ht="15" customHeight="1" x14ac:dyDescent="0.25">
      <c r="C252" s="5" t="s">
        <v>5</v>
      </c>
      <c r="D252" s="5" t="s">
        <v>6</v>
      </c>
      <c r="F252" s="5" t="s">
        <v>199</v>
      </c>
      <c r="L252" s="13" t="s">
        <v>217</v>
      </c>
      <c r="M252" s="13"/>
      <c r="N252" s="13" t="s">
        <v>218</v>
      </c>
      <c r="O252" s="13"/>
    </row>
    <row r="253" spans="2:20" x14ac:dyDescent="0.25">
      <c r="B253" s="17" t="s">
        <v>219</v>
      </c>
      <c r="C253" s="14">
        <v>5.6657223796033995E-2</v>
      </c>
      <c r="D253" s="14">
        <v>0.32500000000000001</v>
      </c>
      <c r="F253" s="19">
        <f>D253-C253</f>
        <v>0.26834277620396602</v>
      </c>
      <c r="L253" s="5" t="s">
        <v>5</v>
      </c>
      <c r="M253" s="5" t="s">
        <v>6</v>
      </c>
      <c r="N253" s="5" t="s">
        <v>5</v>
      </c>
      <c r="O253" s="5" t="s">
        <v>6</v>
      </c>
      <c r="S253" s="5" t="s">
        <v>203</v>
      </c>
      <c r="T253" s="5" t="s">
        <v>204</v>
      </c>
    </row>
    <row r="254" spans="2:20" x14ac:dyDescent="0.25">
      <c r="B254" s="17" t="s">
        <v>205</v>
      </c>
      <c r="C254" s="14">
        <v>0.17988668555240794</v>
      </c>
      <c r="D254" s="14">
        <v>0.47187499999999999</v>
      </c>
      <c r="F254" s="19">
        <f t="shared" ref="F254:F262" si="11">D254-C254</f>
        <v>0.29198831444759205</v>
      </c>
      <c r="K254" s="17" t="s">
        <v>219</v>
      </c>
      <c r="L254" s="14">
        <v>0.49433427762039661</v>
      </c>
      <c r="M254" s="14">
        <v>0.27500000000000002</v>
      </c>
      <c r="N254" s="14">
        <v>1.2747875354107648E-2</v>
      </c>
      <c r="O254" s="14">
        <v>1.8749999999999999E-2</v>
      </c>
      <c r="S254" s="19">
        <f>M254-L254</f>
        <v>-0.21933427762039659</v>
      </c>
      <c r="T254" s="19">
        <f>O254-N254</f>
        <v>6.0021246458923511E-3</v>
      </c>
    </row>
    <row r="255" spans="2:20" x14ac:dyDescent="0.25">
      <c r="B255" s="17" t="s">
        <v>207</v>
      </c>
      <c r="C255" s="14">
        <v>3.9660056657223795E-2</v>
      </c>
      <c r="D255" s="14">
        <v>0.375</v>
      </c>
      <c r="F255" s="19">
        <f t="shared" si="11"/>
        <v>0.33533994334277623</v>
      </c>
      <c r="K255" s="17" t="s">
        <v>205</v>
      </c>
      <c r="L255" s="14">
        <v>0.18980169971671387</v>
      </c>
      <c r="M255" s="14">
        <v>0.15</v>
      </c>
      <c r="N255" s="14">
        <v>0.48583569405099153</v>
      </c>
      <c r="O255" s="14">
        <v>0.15</v>
      </c>
      <c r="S255" s="19">
        <f t="shared" ref="S255:S263" si="12">M255-L255</f>
        <v>-3.9801699716713879E-2</v>
      </c>
      <c r="T255" s="19">
        <f t="shared" ref="T255:T263" si="13">O255-N255</f>
        <v>-0.33583569405099156</v>
      </c>
    </row>
    <row r="256" spans="2:20" x14ac:dyDescent="0.25">
      <c r="B256" s="17" t="s">
        <v>208</v>
      </c>
      <c r="C256" s="14">
        <v>0.10906515580736544</v>
      </c>
      <c r="D256" s="14">
        <v>0.30937500000000001</v>
      </c>
      <c r="F256" s="19">
        <f t="shared" si="11"/>
        <v>0.20030984419263459</v>
      </c>
      <c r="K256" s="17" t="s">
        <v>207</v>
      </c>
      <c r="L256" s="14">
        <v>0.52974504249291787</v>
      </c>
      <c r="M256" s="14">
        <v>0.26874999999999999</v>
      </c>
      <c r="N256" s="14">
        <v>1.5580736543909348E-2</v>
      </c>
      <c r="O256" s="14">
        <v>3.1250000000000002E-3</v>
      </c>
      <c r="S256" s="19">
        <f t="shared" si="12"/>
        <v>-0.26099504249291788</v>
      </c>
      <c r="T256" s="19">
        <f t="shared" si="13"/>
        <v>-1.2455736543909347E-2</v>
      </c>
    </row>
    <row r="257" spans="1:20" x14ac:dyDescent="0.25">
      <c r="B257" s="17" t="s">
        <v>209</v>
      </c>
      <c r="C257" s="14">
        <v>8.2152974504249299E-2</v>
      </c>
      <c r="D257" s="14">
        <v>0.35312500000000002</v>
      </c>
      <c r="F257" s="19">
        <f t="shared" si="11"/>
        <v>0.27097202549575072</v>
      </c>
      <c r="K257" s="17" t="s">
        <v>208</v>
      </c>
      <c r="L257" s="14">
        <v>0.13172804532577903</v>
      </c>
      <c r="M257" s="14">
        <v>0.10312499999999999</v>
      </c>
      <c r="N257" s="14">
        <v>0.10764872521246459</v>
      </c>
      <c r="O257" s="14">
        <v>3.125E-2</v>
      </c>
      <c r="S257" s="19">
        <f t="shared" si="12"/>
        <v>-2.8603045325779036E-2</v>
      </c>
      <c r="T257" s="19">
        <f t="shared" si="13"/>
        <v>-7.6398725212464588E-2</v>
      </c>
    </row>
    <row r="258" spans="1:20" x14ac:dyDescent="0.25">
      <c r="B258" s="17" t="s">
        <v>210</v>
      </c>
      <c r="C258" s="14">
        <v>0.24645892351274787</v>
      </c>
      <c r="D258" s="14">
        <v>0.40312500000000001</v>
      </c>
      <c r="F258" s="19">
        <f t="shared" si="11"/>
        <v>0.15666607648725214</v>
      </c>
      <c r="K258" s="17" t="s">
        <v>209</v>
      </c>
      <c r="L258" s="14">
        <v>0.25779036827195467</v>
      </c>
      <c r="M258" s="14">
        <v>0.11874999999999999</v>
      </c>
      <c r="N258" s="14">
        <v>1.2747875354107648E-2</v>
      </c>
      <c r="O258" s="14">
        <v>6.2500000000000003E-3</v>
      </c>
      <c r="S258" s="19">
        <f t="shared" si="12"/>
        <v>-0.13904036827195468</v>
      </c>
      <c r="T258" s="19">
        <f t="shared" si="13"/>
        <v>-6.4978753541076479E-3</v>
      </c>
    </row>
    <row r="259" spans="1:20" x14ac:dyDescent="0.25">
      <c r="B259" s="17" t="s">
        <v>211</v>
      </c>
      <c r="C259" s="14">
        <v>4.9575070821529746E-2</v>
      </c>
      <c r="D259" s="14">
        <v>0.37187500000000001</v>
      </c>
      <c r="F259" s="19">
        <f t="shared" si="11"/>
        <v>0.32229992917847028</v>
      </c>
      <c r="K259" s="17" t="s">
        <v>210</v>
      </c>
      <c r="L259" s="14">
        <v>0.26912181303116145</v>
      </c>
      <c r="M259" s="14">
        <v>0.14687500000000001</v>
      </c>
      <c r="N259" s="14">
        <v>6.2322946175637391E-2</v>
      </c>
      <c r="O259" s="14">
        <v>4.0625000000000001E-2</v>
      </c>
      <c r="S259" s="19">
        <f t="shared" si="12"/>
        <v>-0.12224681303116144</v>
      </c>
      <c r="T259" s="19">
        <f t="shared" si="13"/>
        <v>-2.1697946175637389E-2</v>
      </c>
    </row>
    <row r="260" spans="1:20" x14ac:dyDescent="0.25">
      <c r="B260" s="17" t="s">
        <v>212</v>
      </c>
      <c r="C260" s="14">
        <v>0.10481586402266289</v>
      </c>
      <c r="D260" s="14">
        <v>0.41249999999999998</v>
      </c>
      <c r="F260" s="19">
        <f t="shared" si="11"/>
        <v>0.30768413597733707</v>
      </c>
      <c r="K260" s="17" t="s">
        <v>211</v>
      </c>
      <c r="L260" s="14">
        <v>0.50283286118980175</v>
      </c>
      <c r="M260" s="14">
        <v>0.19375000000000001</v>
      </c>
      <c r="N260" s="14">
        <v>8.4985835694051E-3</v>
      </c>
      <c r="O260" s="14">
        <v>0</v>
      </c>
      <c r="S260" s="19">
        <f t="shared" si="12"/>
        <v>-0.30908286118980177</v>
      </c>
      <c r="T260" s="19">
        <f t="shared" si="13"/>
        <v>-8.4985835694051E-3</v>
      </c>
    </row>
    <row r="261" spans="1:20" x14ac:dyDescent="0.25">
      <c r="B261" s="17" t="s">
        <v>213</v>
      </c>
      <c r="C261" s="14">
        <v>7.6487252124645896E-2</v>
      </c>
      <c r="D261" s="14">
        <v>0.39374999999999999</v>
      </c>
      <c r="F261" s="19">
        <f t="shared" si="11"/>
        <v>0.31726274787535408</v>
      </c>
      <c r="K261" s="17" t="s">
        <v>212</v>
      </c>
      <c r="L261" s="14">
        <v>0.45609065155807366</v>
      </c>
      <c r="M261" s="14">
        <v>0.16875000000000001</v>
      </c>
      <c r="N261" s="14">
        <v>5.6657223796033997E-3</v>
      </c>
      <c r="O261" s="14">
        <v>0</v>
      </c>
      <c r="S261" s="19">
        <f t="shared" si="12"/>
        <v>-0.28734065155807365</v>
      </c>
      <c r="T261" s="19">
        <f t="shared" si="13"/>
        <v>-5.6657223796033997E-3</v>
      </c>
    </row>
    <row r="262" spans="1:20" x14ac:dyDescent="0.25">
      <c r="B262" s="17" t="s">
        <v>214</v>
      </c>
      <c r="C262" s="14">
        <v>4.5325779036827198E-2</v>
      </c>
      <c r="D262" s="14">
        <v>0.34375</v>
      </c>
      <c r="F262" s="19">
        <f t="shared" si="11"/>
        <v>0.29842422096317278</v>
      </c>
      <c r="K262" s="17" t="s">
        <v>213</v>
      </c>
      <c r="L262" s="14">
        <v>0.44192634560906513</v>
      </c>
      <c r="M262" s="14">
        <v>0.171875</v>
      </c>
      <c r="N262" s="14">
        <v>7.0821529745042494E-3</v>
      </c>
      <c r="O262" s="14">
        <v>9.3749999999999997E-3</v>
      </c>
      <c r="S262" s="19">
        <f t="shared" si="12"/>
        <v>-0.27005134560906513</v>
      </c>
      <c r="T262" s="19">
        <f t="shared" si="13"/>
        <v>2.2928470254957502E-3</v>
      </c>
    </row>
    <row r="263" spans="1:20" x14ac:dyDescent="0.25">
      <c r="K263" s="17" t="s">
        <v>214</v>
      </c>
      <c r="L263" s="14">
        <v>0.49008498583569404</v>
      </c>
      <c r="M263" s="14">
        <v>0.25312499999999999</v>
      </c>
      <c r="N263" s="14">
        <v>1.4164305949008499E-3</v>
      </c>
      <c r="O263" s="14">
        <v>0</v>
      </c>
      <c r="S263" s="19">
        <f t="shared" si="12"/>
        <v>-0.23695998583569405</v>
      </c>
      <c r="T263" s="19">
        <f t="shared" si="13"/>
        <v>-1.4164305949008499E-3</v>
      </c>
    </row>
    <row r="264" spans="1:20" x14ac:dyDescent="0.25">
      <c r="K264" s="20"/>
      <c r="L264" s="21"/>
      <c r="M264" s="21"/>
      <c r="N264" s="21"/>
      <c r="O264" s="21"/>
    </row>
    <row r="265" spans="1:20" x14ac:dyDescent="0.25">
      <c r="B265" s="4" t="s">
        <v>220</v>
      </c>
    </row>
    <row r="266" spans="1:20" x14ac:dyDescent="0.25">
      <c r="C266" s="22" t="s">
        <v>221</v>
      </c>
      <c r="D266" s="22"/>
      <c r="E266" s="22" t="s">
        <v>222</v>
      </c>
      <c r="F266" s="22"/>
      <c r="K266" s="4" t="s">
        <v>223</v>
      </c>
    </row>
    <row r="267" spans="1:20" x14ac:dyDescent="0.25">
      <c r="C267" s="5" t="s">
        <v>5</v>
      </c>
      <c r="D267" s="5" t="s">
        <v>6</v>
      </c>
      <c r="E267" s="5" t="s">
        <v>5</v>
      </c>
      <c r="F267" s="5" t="s">
        <v>6</v>
      </c>
      <c r="L267" s="5" t="s">
        <v>5</v>
      </c>
      <c r="M267" s="5" t="s">
        <v>6</v>
      </c>
    </row>
    <row r="268" spans="1:20" x14ac:dyDescent="0.25">
      <c r="A268" s="23" t="s">
        <v>224</v>
      </c>
      <c r="B268" s="17" t="s">
        <v>225</v>
      </c>
      <c r="C268" s="24">
        <v>2.2917847025495752</v>
      </c>
      <c r="D268" s="24">
        <v>1.746875</v>
      </c>
      <c r="E268" s="24">
        <v>2.8336252189141855</v>
      </c>
      <c r="F268" s="24">
        <v>2.4517543859649122</v>
      </c>
      <c r="J268" s="23" t="s">
        <v>224</v>
      </c>
      <c r="K268" s="17" t="s">
        <v>225</v>
      </c>
      <c r="L268" s="25">
        <v>0.80878186968838528</v>
      </c>
      <c r="M268" s="25">
        <v>0.71250000000000002</v>
      </c>
    </row>
    <row r="269" spans="1:20" x14ac:dyDescent="0.25">
      <c r="A269" s="23"/>
      <c r="B269" s="17" t="s">
        <v>226</v>
      </c>
      <c r="C269" s="24">
        <v>1.951841359773371</v>
      </c>
      <c r="D269" s="24">
        <v>1.53125</v>
      </c>
      <c r="E269" s="24">
        <v>1.9884559884559885</v>
      </c>
      <c r="F269" s="24">
        <v>1.5909090909090908</v>
      </c>
      <c r="J269" s="23"/>
      <c r="K269" s="17" t="s">
        <v>226</v>
      </c>
      <c r="L269" s="25">
        <v>0.9815864022662889</v>
      </c>
      <c r="M269" s="25">
        <v>0.96250000000000002</v>
      </c>
    </row>
    <row r="270" spans="1:20" x14ac:dyDescent="0.25">
      <c r="A270" s="23"/>
      <c r="B270" s="17" t="s">
        <v>227</v>
      </c>
      <c r="C270" s="24">
        <v>2.1260623229461757</v>
      </c>
      <c r="D270" s="24">
        <v>1.9312499999999999</v>
      </c>
      <c r="E270" s="24">
        <v>2.1628242074927955</v>
      </c>
      <c r="F270" s="24">
        <v>2.0064935064935066</v>
      </c>
      <c r="J270" s="23"/>
      <c r="K270" s="17" t="s">
        <v>227</v>
      </c>
      <c r="L270" s="25">
        <v>0.98300283286118983</v>
      </c>
      <c r="M270" s="25">
        <v>0.96250000000000002</v>
      </c>
    </row>
    <row r="271" spans="1:20" x14ac:dyDescent="0.25">
      <c r="A271" s="23"/>
      <c r="B271" s="17" t="s">
        <v>228</v>
      </c>
      <c r="C271" s="24">
        <v>1.2393767705382437</v>
      </c>
      <c r="D271" s="24">
        <v>1.2</v>
      </c>
      <c r="E271" s="24">
        <v>1.4486754966887416</v>
      </c>
      <c r="F271" s="24">
        <v>1.3617021276595744</v>
      </c>
      <c r="J271" s="23"/>
      <c r="K271" s="17" t="s">
        <v>228</v>
      </c>
      <c r="L271" s="25">
        <v>0.85552407932011332</v>
      </c>
      <c r="M271" s="25">
        <v>0.88124999999999998</v>
      </c>
    </row>
    <row r="272" spans="1:20" x14ac:dyDescent="0.25">
      <c r="A272" s="23"/>
      <c r="B272" s="17" t="s">
        <v>229</v>
      </c>
      <c r="C272" s="24">
        <v>1.6770538243626063</v>
      </c>
      <c r="D272" s="24">
        <v>1.3218749999999999</v>
      </c>
      <c r="E272" s="24">
        <v>1.8823529411764706</v>
      </c>
      <c r="F272" s="24">
        <v>1.5902255639097744</v>
      </c>
      <c r="J272" s="23"/>
      <c r="K272" s="17" t="s">
        <v>229</v>
      </c>
      <c r="L272" s="25">
        <v>0.89093484419263458</v>
      </c>
      <c r="M272" s="25">
        <v>0.83125000000000004</v>
      </c>
    </row>
    <row r="273" spans="1:13" ht="8.25" customHeight="1" x14ac:dyDescent="0.25">
      <c r="A273" s="26"/>
      <c r="E273" s="27"/>
      <c r="F273" s="27"/>
      <c r="J273" s="26"/>
    </row>
    <row r="274" spans="1:13" x14ac:dyDescent="0.25">
      <c r="B274" s="28" t="s">
        <v>224</v>
      </c>
      <c r="C274" s="29">
        <f>SUM(C268:C272)</f>
        <v>9.2861189801699719</v>
      </c>
      <c r="D274" s="29">
        <f>SUM(D268:D272)</f>
        <v>7.7312499999999993</v>
      </c>
      <c r="J274" s="23" t="s">
        <v>230</v>
      </c>
      <c r="K274" s="17" t="s">
        <v>231</v>
      </c>
      <c r="L274" s="25">
        <v>0.16855524079320117</v>
      </c>
      <c r="M274" s="25">
        <v>0.359375</v>
      </c>
    </row>
    <row r="275" spans="1:13" x14ac:dyDescent="0.25">
      <c r="J275" s="23"/>
      <c r="K275" s="17" t="s">
        <v>232</v>
      </c>
      <c r="L275" s="25">
        <v>0.70538243626062325</v>
      </c>
      <c r="M275" s="25">
        <v>0.48750000000000004</v>
      </c>
    </row>
    <row r="276" spans="1:13" x14ac:dyDescent="0.25">
      <c r="A276" s="23" t="s">
        <v>230</v>
      </c>
      <c r="B276" s="17" t="s">
        <v>231</v>
      </c>
      <c r="C276" s="24">
        <v>0.39801699716713879</v>
      </c>
      <c r="D276" s="24">
        <v>0.734375</v>
      </c>
      <c r="E276" s="24">
        <v>2.3613445378151261</v>
      </c>
      <c r="F276" s="24">
        <v>2.0434782608695654</v>
      </c>
      <c r="J276" s="23"/>
      <c r="K276" s="17" t="s">
        <v>233</v>
      </c>
      <c r="L276" s="25">
        <v>7.0821529745042078E-3</v>
      </c>
      <c r="M276" s="25">
        <v>3.1250000000000444E-3</v>
      </c>
    </row>
    <row r="277" spans="1:13" x14ac:dyDescent="0.25">
      <c r="A277" s="23"/>
      <c r="B277" s="17" t="s">
        <v>232</v>
      </c>
      <c r="C277" s="24">
        <v>2.2110481586402266</v>
      </c>
      <c r="D277" s="24">
        <v>1.1625000000000001</v>
      </c>
      <c r="E277" s="24">
        <v>3.1345381526104417</v>
      </c>
      <c r="F277" s="24">
        <v>2.3846153846153846</v>
      </c>
      <c r="J277" s="23"/>
      <c r="K277" s="17" t="s">
        <v>234</v>
      </c>
      <c r="L277" s="25">
        <v>1.2747875354107596E-2</v>
      </c>
      <c r="M277" s="25">
        <v>0.12812500000000004</v>
      </c>
    </row>
    <row r="278" spans="1:13" x14ac:dyDescent="0.25">
      <c r="A278" s="23"/>
      <c r="B278" s="17" t="s">
        <v>233</v>
      </c>
      <c r="C278" s="24">
        <v>1.2747875354107648E-2</v>
      </c>
      <c r="D278" s="24">
        <v>3.1250000000000002E-3</v>
      </c>
      <c r="E278" s="24">
        <v>1.8</v>
      </c>
      <c r="F278" s="24">
        <v>1</v>
      </c>
      <c r="J278" s="23"/>
      <c r="K278" s="17" t="s">
        <v>235</v>
      </c>
      <c r="L278" s="25">
        <v>0.26345609065155806</v>
      </c>
      <c r="M278" s="25">
        <v>0.36562499999999998</v>
      </c>
    </row>
    <row r="279" spans="1:13" x14ac:dyDescent="0.25">
      <c r="A279" s="23"/>
      <c r="B279" s="17" t="s">
        <v>234</v>
      </c>
      <c r="C279" s="24">
        <v>6.2322946175637391E-2</v>
      </c>
      <c r="D279" s="24">
        <v>0.43125000000000002</v>
      </c>
      <c r="E279" s="24">
        <v>4.8888888888888893</v>
      </c>
      <c r="F279" s="24">
        <v>3.3658536585365852</v>
      </c>
      <c r="J279" s="23"/>
      <c r="K279" s="17" t="s">
        <v>236</v>
      </c>
      <c r="L279" s="25">
        <v>0.23654390934844194</v>
      </c>
      <c r="M279" s="25">
        <v>0.47812500000000002</v>
      </c>
    </row>
    <row r="280" spans="1:13" x14ac:dyDescent="0.25">
      <c r="A280" s="23"/>
      <c r="B280" s="17" t="s">
        <v>235</v>
      </c>
      <c r="C280" s="24">
        <v>0.40651558073654392</v>
      </c>
      <c r="D280" s="24">
        <v>0.53749999999999998</v>
      </c>
      <c r="E280" s="24">
        <v>1.543010752688172</v>
      </c>
      <c r="F280" s="24">
        <v>1.4700854700854702</v>
      </c>
      <c r="J280" s="23"/>
      <c r="K280" s="17" t="s">
        <v>237</v>
      </c>
      <c r="L280" s="25">
        <v>3.5410764872521261E-2</v>
      </c>
      <c r="M280" s="25">
        <v>0.140625</v>
      </c>
    </row>
    <row r="281" spans="1:13" x14ac:dyDescent="0.25">
      <c r="A281" s="23"/>
      <c r="B281" s="17" t="s">
        <v>236</v>
      </c>
      <c r="C281" s="24">
        <v>0.77762039660056659</v>
      </c>
      <c r="D281" s="24">
        <v>1.778125</v>
      </c>
      <c r="E281" s="24">
        <v>3.2874251497005988</v>
      </c>
      <c r="F281" s="24">
        <v>3.7189542483660132</v>
      </c>
      <c r="J281" s="26"/>
    </row>
    <row r="282" spans="1:13" ht="15" customHeight="1" x14ac:dyDescent="0.25">
      <c r="A282" s="23"/>
      <c r="B282" s="17" t="s">
        <v>237</v>
      </c>
      <c r="C282" s="24">
        <v>0.3101983002832861</v>
      </c>
      <c r="D282" s="24">
        <v>0.29062500000000002</v>
      </c>
      <c r="E282" s="24">
        <v>8.76</v>
      </c>
      <c r="F282" s="24">
        <v>2.0666666666666669</v>
      </c>
      <c r="J282" s="23" t="s">
        <v>238</v>
      </c>
      <c r="K282" s="17" t="s">
        <v>239</v>
      </c>
      <c r="L282" s="25">
        <v>7.790368271954673E-2</v>
      </c>
      <c r="M282" s="25">
        <v>0.24062499999999998</v>
      </c>
    </row>
    <row r="283" spans="1:13" ht="15" customHeight="1" x14ac:dyDescent="0.25">
      <c r="J283" s="23"/>
      <c r="K283" s="17" t="s">
        <v>234</v>
      </c>
      <c r="L283" s="25">
        <v>1.2747875354107596E-2</v>
      </c>
      <c r="M283" s="25">
        <v>0.12812500000000004</v>
      </c>
    </row>
    <row r="284" spans="1:13" x14ac:dyDescent="0.25">
      <c r="B284" s="28" t="s">
        <v>230</v>
      </c>
      <c r="C284" s="29">
        <f>SUM(C276:C282)</f>
        <v>4.1784702549575066</v>
      </c>
      <c r="D284" s="29">
        <f>SUM(D276:D282)</f>
        <v>4.9375000000000009</v>
      </c>
      <c r="J284" s="23"/>
      <c r="K284" s="17" t="s">
        <v>240</v>
      </c>
      <c r="L284" s="25">
        <v>2.6912181303116123E-2</v>
      </c>
      <c r="M284" s="25">
        <v>0.32499999999999996</v>
      </c>
    </row>
    <row r="285" spans="1:13" x14ac:dyDescent="0.25">
      <c r="J285" s="26"/>
    </row>
    <row r="286" spans="1:13" x14ac:dyDescent="0.25">
      <c r="A286" s="23" t="s">
        <v>238</v>
      </c>
      <c r="B286" s="17" t="s">
        <v>239</v>
      </c>
      <c r="C286" s="24">
        <v>0.23371104815864022</v>
      </c>
      <c r="D286" s="24">
        <v>0.6875</v>
      </c>
      <c r="E286" s="24">
        <v>3</v>
      </c>
      <c r="F286" s="24">
        <v>2.8571428571428572</v>
      </c>
      <c r="J286" s="30" t="s">
        <v>241</v>
      </c>
      <c r="K286" s="17" t="s">
        <v>242</v>
      </c>
      <c r="L286" s="25">
        <v>2.1246458923512734E-2</v>
      </c>
      <c r="M286" s="25">
        <v>0.21562499999999996</v>
      </c>
    </row>
    <row r="287" spans="1:13" x14ac:dyDescent="0.25">
      <c r="A287" s="23"/>
      <c r="B287" s="17" t="s">
        <v>234</v>
      </c>
      <c r="C287" s="24">
        <v>6.2322946175637391E-2</v>
      </c>
      <c r="D287" s="24">
        <v>0.43125000000000002</v>
      </c>
      <c r="E287" s="24">
        <v>4.8888888888888893</v>
      </c>
      <c r="F287" s="24">
        <v>3.3658536585365852</v>
      </c>
      <c r="J287" s="26"/>
    </row>
    <row r="288" spans="1:13" x14ac:dyDescent="0.25">
      <c r="A288" s="23"/>
      <c r="B288" s="17" t="s">
        <v>240</v>
      </c>
      <c r="C288" s="24">
        <v>6.9405099150141647E-2</v>
      </c>
      <c r="D288" s="24">
        <v>0.640625</v>
      </c>
      <c r="E288" s="24">
        <v>2.5789473684210527</v>
      </c>
      <c r="F288" s="24">
        <v>1.9711538461538463</v>
      </c>
      <c r="J288" s="23" t="s">
        <v>243</v>
      </c>
      <c r="K288" s="17" t="s">
        <v>244</v>
      </c>
      <c r="L288" s="25">
        <v>0.98583569405099147</v>
      </c>
      <c r="M288" s="25">
        <v>0.97187500000000004</v>
      </c>
    </row>
    <row r="289" spans="1:13" ht="12.75" customHeight="1" x14ac:dyDescent="0.25">
      <c r="J289" s="23"/>
      <c r="K289" s="17" t="s">
        <v>245</v>
      </c>
      <c r="L289" s="25">
        <v>0.96742209631728049</v>
      </c>
      <c r="M289" s="25">
        <v>0.90312499999999996</v>
      </c>
    </row>
    <row r="290" spans="1:13" x14ac:dyDescent="0.25">
      <c r="B290" s="28" t="s">
        <v>238</v>
      </c>
      <c r="C290" s="29">
        <f>SUM(C286:C288)</f>
        <v>0.36543909348441928</v>
      </c>
      <c r="D290" s="29">
        <f>SUM(D286:D288)</f>
        <v>1.7593749999999999</v>
      </c>
      <c r="J290" s="26"/>
    </row>
    <row r="291" spans="1:13" x14ac:dyDescent="0.25">
      <c r="J291" s="30" t="s">
        <v>246</v>
      </c>
      <c r="K291" s="17" t="s">
        <v>247</v>
      </c>
      <c r="L291" s="25">
        <v>0.57932011331444766</v>
      </c>
      <c r="M291" s="25">
        <v>0.73750000000000004</v>
      </c>
    </row>
    <row r="292" spans="1:13" ht="22.5" x14ac:dyDescent="0.25">
      <c r="A292" s="30" t="s">
        <v>241</v>
      </c>
      <c r="B292" s="17" t="s">
        <v>242</v>
      </c>
      <c r="C292" s="24">
        <v>3.8243626062322948E-2</v>
      </c>
      <c r="D292" s="24">
        <v>0.31874999999999998</v>
      </c>
      <c r="E292" s="24">
        <v>1.8</v>
      </c>
      <c r="F292" s="24">
        <v>1.4782608695652173</v>
      </c>
      <c r="J292" s="26"/>
    </row>
    <row r="293" spans="1:13" x14ac:dyDescent="0.25">
      <c r="J293" s="30" t="s">
        <v>35</v>
      </c>
      <c r="K293" s="17" t="s">
        <v>248</v>
      </c>
      <c r="L293" s="25">
        <v>0.19263456090651554</v>
      </c>
      <c r="M293" s="25">
        <v>3.4375000000000044E-2</v>
      </c>
    </row>
    <row r="294" spans="1:13" x14ac:dyDescent="0.25">
      <c r="A294" s="23" t="s">
        <v>243</v>
      </c>
      <c r="B294" s="17" t="s">
        <v>249</v>
      </c>
      <c r="C294" s="24">
        <v>1.7407932011331444</v>
      </c>
      <c r="D294" s="24">
        <v>1.5249999999999999</v>
      </c>
      <c r="E294" s="24">
        <v>1.7658045977011494</v>
      </c>
      <c r="F294" s="24">
        <v>1.5691318327974277</v>
      </c>
    </row>
    <row r="295" spans="1:13" x14ac:dyDescent="0.25">
      <c r="A295" s="23"/>
      <c r="B295" s="17" t="s">
        <v>245</v>
      </c>
      <c r="C295" s="24">
        <v>6.8895184135977336</v>
      </c>
      <c r="D295" s="24">
        <v>5.7906250000000004</v>
      </c>
      <c r="E295" s="24">
        <v>7.1215226939970719</v>
      </c>
      <c r="F295" s="24">
        <v>6.4117647058823533</v>
      </c>
    </row>
    <row r="296" spans="1:13" ht="6.75" customHeight="1" x14ac:dyDescent="0.25"/>
    <row r="297" spans="1:13" x14ac:dyDescent="0.25">
      <c r="B297" s="28" t="s">
        <v>243</v>
      </c>
      <c r="C297" s="29">
        <f>SUM(C294:C295)</f>
        <v>8.6303116147308785</v>
      </c>
      <c r="D297" s="29">
        <f>SUM(D294:D295)</f>
        <v>7.3156250000000007</v>
      </c>
    </row>
    <row r="299" spans="1:13" x14ac:dyDescent="0.25">
      <c r="A299" s="30" t="s">
        <v>246</v>
      </c>
      <c r="B299" s="17" t="s">
        <v>247</v>
      </c>
      <c r="C299" s="24">
        <v>1.1118980169971671</v>
      </c>
      <c r="D299" s="24">
        <v>1.7749999999999999</v>
      </c>
      <c r="E299" s="24">
        <v>1.9193154034229829</v>
      </c>
      <c r="F299" s="24">
        <v>2.406779661016949</v>
      </c>
    </row>
    <row r="300" spans="1:13" x14ac:dyDescent="0.25">
      <c r="A300" s="26"/>
    </row>
    <row r="301" spans="1:13" x14ac:dyDescent="0.25">
      <c r="A301" s="30" t="s">
        <v>35</v>
      </c>
      <c r="B301" s="17" t="s">
        <v>248</v>
      </c>
      <c r="C301" s="24">
        <v>0.83286118980169976</v>
      </c>
      <c r="D301" s="24">
        <v>5.9374999999999997E-2</v>
      </c>
      <c r="E301" s="24">
        <v>4.3235294117647056</v>
      </c>
      <c r="F301" s="24">
        <v>1.7272727272727273</v>
      </c>
    </row>
    <row r="303" spans="1:13" x14ac:dyDescent="0.25">
      <c r="A303" s="26"/>
    </row>
    <row r="304" spans="1:13" ht="21" x14ac:dyDescent="0.35">
      <c r="B304" s="3" t="s">
        <v>250</v>
      </c>
    </row>
    <row r="307" spans="1:20" x14ac:dyDescent="0.25">
      <c r="A307" s="26"/>
      <c r="B307" s="4" t="s">
        <v>251</v>
      </c>
      <c r="K307" s="4" t="s">
        <v>252</v>
      </c>
    </row>
    <row r="308" spans="1:20" x14ac:dyDescent="0.25">
      <c r="C308" s="5" t="s">
        <v>5</v>
      </c>
      <c r="D308" s="5" t="s">
        <v>6</v>
      </c>
      <c r="F308" s="5" t="s">
        <v>199</v>
      </c>
      <c r="L308" s="13" t="s">
        <v>200</v>
      </c>
      <c r="M308" s="13"/>
      <c r="N308" s="13" t="s">
        <v>201</v>
      </c>
      <c r="O308" s="13"/>
    </row>
    <row r="309" spans="1:20" x14ac:dyDescent="0.25">
      <c r="A309" s="26"/>
      <c r="B309" s="17" t="s">
        <v>253</v>
      </c>
      <c r="C309" s="14">
        <v>0.34985835694050993</v>
      </c>
      <c r="D309" s="14">
        <v>0.625</v>
      </c>
      <c r="F309" s="19">
        <f>D309-C309</f>
        <v>0.27514164305949007</v>
      </c>
      <c r="L309" s="5" t="s">
        <v>5</v>
      </c>
      <c r="M309" s="5" t="s">
        <v>6</v>
      </c>
      <c r="N309" s="5" t="s">
        <v>5</v>
      </c>
      <c r="O309" s="5" t="s">
        <v>6</v>
      </c>
      <c r="S309" s="5" t="s">
        <v>203</v>
      </c>
      <c r="T309" s="5" t="s">
        <v>204</v>
      </c>
    </row>
    <row r="310" spans="1:20" x14ac:dyDescent="0.25">
      <c r="B310" s="17" t="s">
        <v>254</v>
      </c>
      <c r="C310" s="14">
        <v>0.52691218130311612</v>
      </c>
      <c r="D310" s="14">
        <v>0.73750000000000004</v>
      </c>
      <c r="F310" s="19">
        <f t="shared" ref="F310:F319" si="14">D310-C310</f>
        <v>0.21058781869688392</v>
      </c>
      <c r="K310" s="17" t="s">
        <v>253</v>
      </c>
      <c r="L310" s="14">
        <v>0.28611898016997167</v>
      </c>
      <c r="M310" s="14">
        <v>0.16874999999999998</v>
      </c>
      <c r="N310" s="14">
        <v>0.36260623229461758</v>
      </c>
      <c r="O310" s="14">
        <v>0.20625000000000002</v>
      </c>
      <c r="S310" s="19">
        <f>M310-L310</f>
        <v>-0.11736898016997169</v>
      </c>
      <c r="T310" s="19">
        <f>O310-N310</f>
        <v>-0.15635623229461756</v>
      </c>
    </row>
    <row r="311" spans="1:20" x14ac:dyDescent="0.25">
      <c r="B311" s="17" t="s">
        <v>255</v>
      </c>
      <c r="C311" s="14">
        <v>0.64164305949008493</v>
      </c>
      <c r="D311" s="14">
        <v>0.83125000000000004</v>
      </c>
      <c r="F311" s="19">
        <f t="shared" si="14"/>
        <v>0.18960694050991511</v>
      </c>
      <c r="K311" s="17" t="s">
        <v>254</v>
      </c>
      <c r="L311" s="14">
        <v>0.34419263456090649</v>
      </c>
      <c r="M311" s="14">
        <v>0.234375</v>
      </c>
      <c r="N311" s="14">
        <v>0.11614730878186968</v>
      </c>
      <c r="O311" s="14">
        <v>2.1874999999999999E-2</v>
      </c>
      <c r="S311" s="19">
        <f t="shared" ref="S311:S320" si="15">M311-L311</f>
        <v>-0.10981763456090649</v>
      </c>
      <c r="T311" s="19">
        <f t="shared" ref="T311:T320" si="16">O311-N311</f>
        <v>-9.4272308781869679E-2</v>
      </c>
    </row>
    <row r="312" spans="1:20" x14ac:dyDescent="0.25">
      <c r="A312" s="26"/>
      <c r="B312" s="17" t="s">
        <v>256</v>
      </c>
      <c r="C312" s="14">
        <v>0.28045325779036828</v>
      </c>
      <c r="D312" s="14">
        <v>0.70625000000000004</v>
      </c>
      <c r="F312" s="19">
        <f t="shared" si="14"/>
        <v>0.42579674220963176</v>
      </c>
      <c r="K312" s="17" t="s">
        <v>255</v>
      </c>
      <c r="L312" s="14">
        <v>8.3569405099150146E-2</v>
      </c>
      <c r="M312" s="14">
        <v>8.4375000000000006E-2</v>
      </c>
      <c r="N312" s="14">
        <v>0.27337110481586402</v>
      </c>
      <c r="O312" s="14">
        <v>8.4375000000000006E-2</v>
      </c>
      <c r="S312" s="19">
        <f t="shared" si="15"/>
        <v>8.0559490084985974E-4</v>
      </c>
      <c r="T312" s="19">
        <f t="shared" si="16"/>
        <v>-0.18899610481586401</v>
      </c>
    </row>
    <row r="313" spans="1:20" x14ac:dyDescent="0.25">
      <c r="B313" s="17" t="s">
        <v>257</v>
      </c>
      <c r="C313" s="14">
        <v>0.46742209631728043</v>
      </c>
      <c r="D313" s="14">
        <v>0.72499999999999998</v>
      </c>
      <c r="F313" s="19">
        <f t="shared" si="14"/>
        <v>0.25757790368271954</v>
      </c>
      <c r="K313" s="17" t="s">
        <v>256</v>
      </c>
      <c r="L313" s="14">
        <v>0.6076487252124646</v>
      </c>
      <c r="M313" s="14">
        <v>0.26874999999999999</v>
      </c>
      <c r="N313" s="14">
        <v>0.10764872521246459</v>
      </c>
      <c r="O313" s="14">
        <v>2.1874999999999999E-2</v>
      </c>
      <c r="S313" s="19">
        <f t="shared" si="15"/>
        <v>-0.33889872521246461</v>
      </c>
      <c r="T313" s="19">
        <f t="shared" si="16"/>
        <v>-8.5773725212464597E-2</v>
      </c>
    </row>
    <row r="314" spans="1:20" x14ac:dyDescent="0.25">
      <c r="B314" s="17" t="s">
        <v>258</v>
      </c>
      <c r="C314" s="14">
        <v>0.69830028328611893</v>
      </c>
      <c r="D314" s="14">
        <v>0.87187499999999996</v>
      </c>
      <c r="F314" s="19">
        <f t="shared" si="14"/>
        <v>0.17357471671388103</v>
      </c>
      <c r="K314" s="17" t="s">
        <v>257</v>
      </c>
      <c r="L314" s="14">
        <v>0.22096317280453256</v>
      </c>
      <c r="M314" s="14">
        <v>0.25</v>
      </c>
      <c r="N314" s="14">
        <v>9.9150141643059492E-2</v>
      </c>
      <c r="O314" s="14">
        <v>2.1874999999999999E-2</v>
      </c>
      <c r="S314" s="19">
        <f t="shared" si="15"/>
        <v>2.9036827195467435E-2</v>
      </c>
      <c r="T314" s="19">
        <f t="shared" si="16"/>
        <v>-7.7275141643059486E-2</v>
      </c>
    </row>
    <row r="315" spans="1:20" x14ac:dyDescent="0.25">
      <c r="B315" s="17" t="s">
        <v>259</v>
      </c>
      <c r="C315" s="14">
        <v>0.71813031161473084</v>
      </c>
      <c r="D315" s="14">
        <v>0.88437500000000002</v>
      </c>
      <c r="F315" s="19">
        <f t="shared" si="14"/>
        <v>0.16624468838526918</v>
      </c>
      <c r="K315" s="17" t="s">
        <v>258</v>
      </c>
      <c r="L315" s="14">
        <v>9.9150141643059492E-2</v>
      </c>
      <c r="M315" s="14">
        <v>6.8750000000000006E-2</v>
      </c>
      <c r="N315" s="14">
        <v>0.17563739376770537</v>
      </c>
      <c r="O315" s="14">
        <v>5.9374999999999997E-2</v>
      </c>
      <c r="S315" s="19">
        <f t="shared" si="15"/>
        <v>-3.0400141643059486E-2</v>
      </c>
      <c r="T315" s="19">
        <f t="shared" si="16"/>
        <v>-0.11626239376770538</v>
      </c>
    </row>
    <row r="316" spans="1:20" x14ac:dyDescent="0.25">
      <c r="B316" s="17" t="s">
        <v>260</v>
      </c>
      <c r="C316" s="14">
        <v>0.80028328611898014</v>
      </c>
      <c r="D316" s="14">
        <v>0.86562499999999998</v>
      </c>
      <c r="F316" s="19">
        <f t="shared" si="14"/>
        <v>6.5341713881019836E-2</v>
      </c>
      <c r="K316" s="17" t="s">
        <v>259</v>
      </c>
      <c r="L316" s="14">
        <v>8.2152974504249285E-2</v>
      </c>
      <c r="M316" s="14">
        <v>6.25E-2</v>
      </c>
      <c r="N316" s="14">
        <v>0.16713881019830029</v>
      </c>
      <c r="O316" s="14">
        <v>0.05</v>
      </c>
      <c r="S316" s="19">
        <f t="shared" si="15"/>
        <v>-1.9652974504249285E-2</v>
      </c>
      <c r="T316" s="19">
        <f t="shared" si="16"/>
        <v>-0.11713881019830029</v>
      </c>
    </row>
    <row r="317" spans="1:20" x14ac:dyDescent="0.25">
      <c r="B317" s="17" t="s">
        <v>261</v>
      </c>
      <c r="C317" s="14">
        <v>0.5184135977337111</v>
      </c>
      <c r="D317" s="14">
        <v>0.828125</v>
      </c>
      <c r="F317" s="19">
        <f t="shared" si="14"/>
        <v>0.3097114022662889</v>
      </c>
      <c r="K317" s="17" t="s">
        <v>260</v>
      </c>
      <c r="L317" s="14">
        <v>6.6572237960339953E-2</v>
      </c>
      <c r="M317" s="14">
        <v>8.1250000000000003E-2</v>
      </c>
      <c r="N317" s="14">
        <v>0.12747875354107649</v>
      </c>
      <c r="O317" s="14">
        <v>5.3124999999999999E-2</v>
      </c>
      <c r="S317" s="19">
        <f t="shared" si="15"/>
        <v>1.467776203966005E-2</v>
      </c>
      <c r="T317" s="19">
        <f t="shared" si="16"/>
        <v>-7.4353753541076484E-2</v>
      </c>
    </row>
    <row r="318" spans="1:20" x14ac:dyDescent="0.25">
      <c r="B318" s="17" t="s">
        <v>262</v>
      </c>
      <c r="C318" s="14">
        <v>0.72237960339943341</v>
      </c>
      <c r="D318" s="14">
        <v>0.890625</v>
      </c>
      <c r="F318" s="19">
        <f t="shared" si="14"/>
        <v>0.16824539660056659</v>
      </c>
      <c r="K318" s="17" t="s">
        <v>261</v>
      </c>
      <c r="L318" s="14">
        <v>4.1076487252124649E-2</v>
      </c>
      <c r="M318" s="14">
        <v>3.7500000000000006E-2</v>
      </c>
      <c r="N318" s="14">
        <v>0.40934844192634562</v>
      </c>
      <c r="O318" s="14">
        <v>0.125</v>
      </c>
      <c r="S318" s="19">
        <f t="shared" si="15"/>
        <v>-3.5764872521246438E-3</v>
      </c>
      <c r="T318" s="19">
        <f t="shared" si="16"/>
        <v>-0.28434844192634562</v>
      </c>
    </row>
    <row r="319" spans="1:20" x14ac:dyDescent="0.25">
      <c r="B319" s="17" t="s">
        <v>263</v>
      </c>
      <c r="C319" s="14">
        <v>0.72237960339943341</v>
      </c>
      <c r="D319" s="14">
        <v>0.88749999999999996</v>
      </c>
      <c r="F319" s="19">
        <f t="shared" si="14"/>
        <v>0.16512039660056654</v>
      </c>
      <c r="K319" s="17" t="s">
        <v>262</v>
      </c>
      <c r="L319" s="14">
        <v>0.12889518413597734</v>
      </c>
      <c r="M319" s="14">
        <v>7.4999999999999997E-2</v>
      </c>
      <c r="N319" s="14">
        <v>0.14022662889518414</v>
      </c>
      <c r="O319" s="14">
        <v>3.125E-2</v>
      </c>
      <c r="S319" s="19">
        <f t="shared" si="15"/>
        <v>-5.3895184135977339E-2</v>
      </c>
      <c r="T319" s="19">
        <f t="shared" si="16"/>
        <v>-0.10897662889518414</v>
      </c>
    </row>
    <row r="320" spans="1:20" x14ac:dyDescent="0.25">
      <c r="K320" s="17" t="s">
        <v>263</v>
      </c>
      <c r="L320" s="14">
        <v>0.10339943342776203</v>
      </c>
      <c r="M320" s="14">
        <v>5.9374999999999997E-2</v>
      </c>
      <c r="N320" s="14">
        <v>0.16147308781869688</v>
      </c>
      <c r="O320" s="14">
        <v>4.3749999999999997E-2</v>
      </c>
      <c r="S320" s="19">
        <f t="shared" si="15"/>
        <v>-4.4024433427762036E-2</v>
      </c>
      <c r="T320" s="19">
        <f t="shared" si="16"/>
        <v>-0.11772308781869688</v>
      </c>
    </row>
    <row r="322" spans="2:20" x14ac:dyDescent="0.25">
      <c r="B322" s="4" t="s">
        <v>264</v>
      </c>
      <c r="K322" s="4" t="s">
        <v>265</v>
      </c>
    </row>
    <row r="323" spans="2:20" x14ac:dyDescent="0.25">
      <c r="C323" s="5" t="s">
        <v>5</v>
      </c>
      <c r="D323" s="5" t="s">
        <v>6</v>
      </c>
      <c r="F323" s="5" t="s">
        <v>199</v>
      </c>
      <c r="L323" s="13" t="s">
        <v>200</v>
      </c>
      <c r="M323" s="13"/>
      <c r="N323" s="13" t="s">
        <v>201</v>
      </c>
      <c r="O323" s="13"/>
    </row>
    <row r="324" spans="2:20" x14ac:dyDescent="0.25">
      <c r="B324" s="17" t="s">
        <v>253</v>
      </c>
      <c r="C324" s="14">
        <v>0.2563739376770538</v>
      </c>
      <c r="D324" s="14">
        <v>0.50624999999999998</v>
      </c>
      <c r="F324" s="19">
        <f>D324-C324</f>
        <v>0.24987606232294618</v>
      </c>
      <c r="L324" s="5" t="s">
        <v>5</v>
      </c>
      <c r="M324" s="5" t="s">
        <v>6</v>
      </c>
      <c r="N324" s="5" t="s">
        <v>5</v>
      </c>
      <c r="O324" s="5" t="s">
        <v>6</v>
      </c>
      <c r="S324" s="5" t="s">
        <v>203</v>
      </c>
      <c r="T324" s="5" t="s">
        <v>204</v>
      </c>
    </row>
    <row r="325" spans="2:20" x14ac:dyDescent="0.25">
      <c r="B325" s="17" t="s">
        <v>254</v>
      </c>
      <c r="C325" s="14">
        <v>0.30594900849858359</v>
      </c>
      <c r="D325" s="14">
        <v>0.48749999999999999</v>
      </c>
      <c r="F325" s="19">
        <f t="shared" ref="F325:F334" si="17">D325-C325</f>
        <v>0.1815509915014164</v>
      </c>
      <c r="K325" s="17" t="s">
        <v>253</v>
      </c>
      <c r="L325" s="14">
        <v>0.34702549575070823</v>
      </c>
      <c r="M325" s="14">
        <v>0.21249999999999999</v>
      </c>
      <c r="N325" s="14">
        <v>0.22662889518413598</v>
      </c>
      <c r="O325" s="14">
        <v>7.1874999999999994E-2</v>
      </c>
      <c r="S325" s="19">
        <f>M325-L325</f>
        <v>-0.13452549575070824</v>
      </c>
      <c r="T325" s="19">
        <f>O325-N325</f>
        <v>-0.15475389518413599</v>
      </c>
    </row>
    <row r="326" spans="2:20" x14ac:dyDescent="0.25">
      <c r="B326" s="17" t="s">
        <v>255</v>
      </c>
      <c r="C326" s="14">
        <v>0.45609065155807366</v>
      </c>
      <c r="D326" s="14">
        <v>0.58750000000000002</v>
      </c>
      <c r="F326" s="19">
        <f t="shared" si="17"/>
        <v>0.13140934844192637</v>
      </c>
      <c r="K326" s="17" t="s">
        <v>254</v>
      </c>
      <c r="L326" s="14">
        <v>0.36260623229461758</v>
      </c>
      <c r="M326" s="14">
        <v>0.265625</v>
      </c>
      <c r="N326" s="14">
        <v>5.8073654390934842E-2</v>
      </c>
      <c r="O326" s="14">
        <v>2.1874999999999999E-2</v>
      </c>
      <c r="S326" s="19">
        <f t="shared" ref="S326:S335" si="18">M326-L326</f>
        <v>-9.6981232294617581E-2</v>
      </c>
      <c r="T326" s="19">
        <f t="shared" ref="T326:T335" si="19">O326-N326</f>
        <v>-3.6198654390934844E-2</v>
      </c>
    </row>
    <row r="327" spans="2:20" x14ac:dyDescent="0.25">
      <c r="B327" s="17" t="s">
        <v>256</v>
      </c>
      <c r="C327" s="14">
        <v>0.13456090651558072</v>
      </c>
      <c r="D327" s="14">
        <v>0.48125000000000001</v>
      </c>
      <c r="F327" s="19">
        <f t="shared" si="17"/>
        <v>0.34668909348441929</v>
      </c>
      <c r="K327" s="17" t="s">
        <v>255</v>
      </c>
      <c r="L327" s="14">
        <v>0.18838526912181303</v>
      </c>
      <c r="M327" s="14">
        <v>0.18124999999999999</v>
      </c>
      <c r="N327" s="14">
        <v>0.20679886685552407</v>
      </c>
      <c r="O327" s="14">
        <v>2.1874999999999999E-2</v>
      </c>
      <c r="S327" s="19">
        <f t="shared" si="18"/>
        <v>-7.1352691218130315E-3</v>
      </c>
      <c r="T327" s="19">
        <f t="shared" si="19"/>
        <v>-0.18492386685552406</v>
      </c>
    </row>
    <row r="328" spans="2:20" x14ac:dyDescent="0.25">
      <c r="B328" s="17" t="s">
        <v>257</v>
      </c>
      <c r="C328" s="14">
        <v>9.7733711048158645E-2</v>
      </c>
      <c r="D328" s="14">
        <v>0.49062499999999998</v>
      </c>
      <c r="F328" s="19">
        <f t="shared" si="17"/>
        <v>0.39289128895184133</v>
      </c>
      <c r="K328" s="17" t="s">
        <v>256</v>
      </c>
      <c r="L328" s="14">
        <v>0.55240793201133143</v>
      </c>
      <c r="M328" s="14">
        <v>0.26250000000000001</v>
      </c>
      <c r="N328" s="14">
        <v>6.0906515580736544E-2</v>
      </c>
      <c r="O328" s="14">
        <v>1.2500000000000001E-2</v>
      </c>
      <c r="S328" s="19">
        <f t="shared" si="18"/>
        <v>-0.28990793201133142</v>
      </c>
      <c r="T328" s="19">
        <f t="shared" si="19"/>
        <v>-4.8406515580736539E-2</v>
      </c>
    </row>
    <row r="329" spans="2:20" x14ac:dyDescent="0.25">
      <c r="B329" s="17" t="s">
        <v>258</v>
      </c>
      <c r="C329" s="14">
        <v>0.42351274787535409</v>
      </c>
      <c r="D329" s="14">
        <v>0.56562500000000004</v>
      </c>
      <c r="F329" s="19">
        <f t="shared" si="17"/>
        <v>0.14211225212464595</v>
      </c>
      <c r="K329" s="17" t="s">
        <v>257</v>
      </c>
      <c r="L329" s="14">
        <v>0.20254957507082152</v>
      </c>
      <c r="M329" s="14">
        <v>0.28437499999999999</v>
      </c>
      <c r="N329" s="14">
        <v>3.2577903682719546E-2</v>
      </c>
      <c r="O329" s="14">
        <v>9.3749999999999997E-3</v>
      </c>
      <c r="S329" s="19">
        <f t="shared" si="18"/>
        <v>8.1825424929178464E-2</v>
      </c>
      <c r="T329" s="19">
        <f t="shared" si="19"/>
        <v>-2.3202903682719545E-2</v>
      </c>
    </row>
    <row r="330" spans="2:20" x14ac:dyDescent="0.25">
      <c r="B330" s="17" t="s">
        <v>259</v>
      </c>
      <c r="C330" s="14">
        <v>0.43626062322946174</v>
      </c>
      <c r="D330" s="14">
        <v>0.578125</v>
      </c>
      <c r="F330" s="19">
        <f t="shared" si="17"/>
        <v>0.14186437677053826</v>
      </c>
      <c r="K330" s="17" t="s">
        <v>258</v>
      </c>
      <c r="L330" s="14">
        <v>0.20821529745042494</v>
      </c>
      <c r="M330" s="14">
        <v>0.2</v>
      </c>
      <c r="N330" s="14">
        <v>0.15297450424929179</v>
      </c>
      <c r="O330" s="14">
        <v>2.1874999999999999E-2</v>
      </c>
      <c r="S330" s="19">
        <f t="shared" si="18"/>
        <v>-8.2152974504249299E-3</v>
      </c>
      <c r="T330" s="19">
        <f t="shared" si="19"/>
        <v>-0.13109950424929179</v>
      </c>
    </row>
    <row r="331" spans="2:20" x14ac:dyDescent="0.25">
      <c r="B331" s="17" t="s">
        <v>260</v>
      </c>
      <c r="C331" s="14">
        <v>0.58073654390934848</v>
      </c>
      <c r="D331" s="14">
        <v>0.59687500000000004</v>
      </c>
      <c r="F331" s="19">
        <f t="shared" si="17"/>
        <v>1.6138456090651565E-2</v>
      </c>
      <c r="K331" s="17" t="s">
        <v>259</v>
      </c>
      <c r="L331" s="14">
        <v>0.18271954674220964</v>
      </c>
      <c r="M331" s="14">
        <v>0.1875</v>
      </c>
      <c r="N331" s="14">
        <v>0.13314447592067988</v>
      </c>
      <c r="O331" s="14">
        <v>3.125E-2</v>
      </c>
      <c r="S331" s="19">
        <f t="shared" si="18"/>
        <v>4.7804532577903625E-3</v>
      </c>
      <c r="T331" s="19">
        <f t="shared" si="19"/>
        <v>-0.10189447592067988</v>
      </c>
    </row>
    <row r="332" spans="2:20" x14ac:dyDescent="0.25">
      <c r="B332" s="17" t="s">
        <v>261</v>
      </c>
      <c r="C332" s="14">
        <v>0.32294617563739375</v>
      </c>
      <c r="D332" s="14">
        <v>0.56562500000000004</v>
      </c>
      <c r="F332" s="19">
        <f t="shared" si="17"/>
        <v>0.24267882436260629</v>
      </c>
      <c r="K332" s="17" t="s">
        <v>260</v>
      </c>
      <c r="L332" s="14">
        <v>0.17563739376770537</v>
      </c>
      <c r="M332" s="14">
        <v>0.18124999999999999</v>
      </c>
      <c r="N332" s="14">
        <v>8.7818696883852687E-2</v>
      </c>
      <c r="O332" s="14">
        <v>1.8749999999999999E-2</v>
      </c>
      <c r="S332" s="19">
        <f t="shared" si="18"/>
        <v>5.6126062322946202E-3</v>
      </c>
      <c r="T332" s="19">
        <f t="shared" si="19"/>
        <v>-6.9068696883852684E-2</v>
      </c>
    </row>
    <row r="333" spans="2:20" x14ac:dyDescent="0.25">
      <c r="B333" s="17" t="s">
        <v>262</v>
      </c>
      <c r="C333" s="14">
        <v>0.44050991501416431</v>
      </c>
      <c r="D333" s="14">
        <v>0.6</v>
      </c>
      <c r="F333" s="19">
        <f t="shared" si="17"/>
        <v>0.15949008498583567</v>
      </c>
      <c r="K333" s="17" t="s">
        <v>261</v>
      </c>
      <c r="L333" s="14">
        <v>0.1643059490084986</v>
      </c>
      <c r="M333" s="14">
        <v>0.15312500000000001</v>
      </c>
      <c r="N333" s="14">
        <v>0.32719546742209632</v>
      </c>
      <c r="O333" s="14">
        <v>4.3749999999999997E-2</v>
      </c>
      <c r="S333" s="19">
        <f t="shared" si="18"/>
        <v>-1.1180949008498586E-2</v>
      </c>
      <c r="T333" s="19">
        <f t="shared" si="19"/>
        <v>-0.28344546742209631</v>
      </c>
    </row>
    <row r="334" spans="2:20" x14ac:dyDescent="0.25">
      <c r="B334" s="17" t="s">
        <v>263</v>
      </c>
      <c r="C334" s="14">
        <v>0.40226628895184136</v>
      </c>
      <c r="D334" s="14">
        <v>0.59375</v>
      </c>
      <c r="F334" s="19">
        <f t="shared" si="17"/>
        <v>0.19148371104815864</v>
      </c>
      <c r="K334" s="17" t="s">
        <v>262</v>
      </c>
      <c r="L334" s="14">
        <v>0.19546742209631729</v>
      </c>
      <c r="M334" s="14">
        <v>0.18124999999999999</v>
      </c>
      <c r="N334" s="14">
        <v>0.12039660056657224</v>
      </c>
      <c r="O334" s="14">
        <v>1.2500000000000001E-2</v>
      </c>
      <c r="S334" s="19">
        <f t="shared" si="18"/>
        <v>-1.4217422096317295E-2</v>
      </c>
      <c r="T334" s="19">
        <f t="shared" si="19"/>
        <v>-0.10789660056657224</v>
      </c>
    </row>
    <row r="335" spans="2:20" x14ac:dyDescent="0.25">
      <c r="K335" s="17" t="s">
        <v>263</v>
      </c>
      <c r="L335" s="14">
        <v>0.19546742209631729</v>
      </c>
      <c r="M335" s="14">
        <v>0.18124999999999999</v>
      </c>
      <c r="N335" s="14">
        <v>0.13739376770538245</v>
      </c>
      <c r="O335" s="14">
        <v>1.5625E-2</v>
      </c>
      <c r="S335" s="19">
        <f t="shared" si="18"/>
        <v>-1.4217422096317295E-2</v>
      </c>
      <c r="T335" s="19">
        <f t="shared" si="19"/>
        <v>-0.12176876770538245</v>
      </c>
    </row>
    <row r="337" spans="2:6" x14ac:dyDescent="0.25">
      <c r="B337" s="4" t="s">
        <v>266</v>
      </c>
    </row>
    <row r="338" spans="2:6" x14ac:dyDescent="0.25">
      <c r="C338" s="5" t="s">
        <v>5</v>
      </c>
      <c r="D338" s="5" t="s">
        <v>6</v>
      </c>
      <c r="F338" s="5" t="s">
        <v>199</v>
      </c>
    </row>
    <row r="339" spans="2:6" x14ac:dyDescent="0.25">
      <c r="B339" s="17" t="s">
        <v>253</v>
      </c>
      <c r="C339" s="14">
        <v>0.50566572237960339</v>
      </c>
      <c r="D339" s="14">
        <v>0.55937499999999996</v>
      </c>
      <c r="F339" s="19">
        <f>D339-C339</f>
        <v>5.3709277620396567E-2</v>
      </c>
    </row>
    <row r="340" spans="2:6" x14ac:dyDescent="0.25">
      <c r="B340" s="17" t="s">
        <v>254</v>
      </c>
      <c r="C340" s="14">
        <v>0.46742209631728043</v>
      </c>
      <c r="D340" s="14">
        <v>0.50937500000000002</v>
      </c>
      <c r="F340" s="19">
        <f t="shared" ref="F340:F349" si="20">D340-C340</f>
        <v>4.1952903682719589E-2</v>
      </c>
    </row>
    <row r="341" spans="2:6" x14ac:dyDescent="0.25">
      <c r="B341" s="17" t="s">
        <v>255</v>
      </c>
      <c r="C341" s="14">
        <v>0.47308781869688388</v>
      </c>
      <c r="D341" s="14">
        <v>0.5625</v>
      </c>
      <c r="F341" s="19">
        <f t="shared" si="20"/>
        <v>8.9412181303116123E-2</v>
      </c>
    </row>
    <row r="342" spans="2:6" x14ac:dyDescent="0.25">
      <c r="B342" s="17" t="s">
        <v>256</v>
      </c>
      <c r="C342" s="14">
        <v>0.51133144475920678</v>
      </c>
      <c r="D342" s="14">
        <v>0.54062500000000002</v>
      </c>
      <c r="F342" s="19">
        <f t="shared" si="20"/>
        <v>2.9293555240793245E-2</v>
      </c>
    </row>
    <row r="343" spans="2:6" x14ac:dyDescent="0.25">
      <c r="B343" s="17" t="s">
        <v>257</v>
      </c>
      <c r="C343" s="14">
        <v>0.16997167138810199</v>
      </c>
      <c r="D343" s="14">
        <v>0.51875000000000004</v>
      </c>
      <c r="F343" s="19">
        <f t="shared" si="20"/>
        <v>0.34877832861189806</v>
      </c>
    </row>
    <row r="344" spans="2:6" x14ac:dyDescent="0.25">
      <c r="B344" s="17" t="s">
        <v>258</v>
      </c>
      <c r="C344" s="14">
        <v>0.40793201133144474</v>
      </c>
      <c r="D344" s="14">
        <v>0.56874999999999998</v>
      </c>
      <c r="F344" s="19">
        <f t="shared" si="20"/>
        <v>0.16081798866855523</v>
      </c>
    </row>
    <row r="345" spans="2:6" x14ac:dyDescent="0.25">
      <c r="B345" s="17" t="s">
        <v>259</v>
      </c>
      <c r="C345" s="14">
        <v>0.39660056657223797</v>
      </c>
      <c r="D345" s="14">
        <v>0.5625</v>
      </c>
      <c r="F345" s="19">
        <f t="shared" si="20"/>
        <v>0.16589943342776203</v>
      </c>
    </row>
    <row r="346" spans="2:6" x14ac:dyDescent="0.25">
      <c r="B346" s="17" t="s">
        <v>260</v>
      </c>
      <c r="C346" s="14">
        <v>0.49008498583569404</v>
      </c>
      <c r="D346" s="14">
        <v>0.58125000000000004</v>
      </c>
      <c r="F346" s="19">
        <f t="shared" si="20"/>
        <v>9.1165014164306002E-2</v>
      </c>
    </row>
    <row r="347" spans="2:6" x14ac:dyDescent="0.25">
      <c r="B347" s="17" t="s">
        <v>261</v>
      </c>
      <c r="C347" s="14">
        <v>0.40509915014164305</v>
      </c>
      <c r="D347" s="14">
        <v>0.51875000000000004</v>
      </c>
      <c r="F347" s="19">
        <f t="shared" si="20"/>
        <v>0.11365084985835699</v>
      </c>
    </row>
    <row r="348" spans="2:6" x14ac:dyDescent="0.25">
      <c r="B348" s="17" t="s">
        <v>262</v>
      </c>
      <c r="C348" s="14">
        <v>0.4206798866855524</v>
      </c>
      <c r="D348" s="14">
        <v>0.55937499999999996</v>
      </c>
      <c r="F348" s="19">
        <f t="shared" si="20"/>
        <v>0.13869511331444756</v>
      </c>
    </row>
    <row r="349" spans="2:6" x14ac:dyDescent="0.25">
      <c r="B349" s="17" t="s">
        <v>263</v>
      </c>
      <c r="C349" s="14">
        <v>0.40368271954674223</v>
      </c>
      <c r="D349" s="14">
        <v>0.56562500000000004</v>
      </c>
      <c r="F349" s="19">
        <f t="shared" si="20"/>
        <v>0.16194228045325781</v>
      </c>
    </row>
    <row r="352" spans="2:6" ht="21" x14ac:dyDescent="0.35">
      <c r="B352" s="3" t="s">
        <v>267</v>
      </c>
    </row>
    <row r="355" spans="2:13" x14ac:dyDescent="0.25">
      <c r="B355" s="4" t="s">
        <v>268</v>
      </c>
      <c r="K355" s="4" t="s">
        <v>269</v>
      </c>
    </row>
    <row r="356" spans="2:13" x14ac:dyDescent="0.25">
      <c r="C356" s="5" t="s">
        <v>5</v>
      </c>
      <c r="D356" s="5" t="s">
        <v>6</v>
      </c>
      <c r="L356" s="5" t="s">
        <v>5</v>
      </c>
      <c r="M356" s="5" t="s">
        <v>6</v>
      </c>
    </row>
    <row r="357" spans="2:13" x14ac:dyDescent="0.25">
      <c r="B357" s="17" t="s">
        <v>46</v>
      </c>
      <c r="C357" s="14">
        <v>0.60481586402266285</v>
      </c>
      <c r="D357" s="14">
        <v>0.96250000000000002</v>
      </c>
      <c r="K357" s="17" t="s">
        <v>270</v>
      </c>
      <c r="L357" s="14">
        <v>0.62181303116147313</v>
      </c>
      <c r="M357" s="14">
        <v>0.703125</v>
      </c>
    </row>
    <row r="358" spans="2:13" x14ac:dyDescent="0.25">
      <c r="B358" s="17" t="s">
        <v>47</v>
      </c>
      <c r="C358" s="14">
        <v>0.39518413597733709</v>
      </c>
      <c r="D358" s="14">
        <v>3.7499999999999999E-2</v>
      </c>
      <c r="K358" s="17" t="s">
        <v>271</v>
      </c>
      <c r="L358" s="14">
        <v>0.32719546742209632</v>
      </c>
      <c r="M358" s="14">
        <v>0.62812500000000004</v>
      </c>
    </row>
    <row r="359" spans="2:13" x14ac:dyDescent="0.25">
      <c r="K359" s="17" t="s">
        <v>272</v>
      </c>
      <c r="L359" s="14">
        <v>4.3909348441926344E-2</v>
      </c>
      <c r="M359" s="14">
        <v>0.121875</v>
      </c>
    </row>
    <row r="360" spans="2:13" x14ac:dyDescent="0.25">
      <c r="B360" s="4" t="s">
        <v>273</v>
      </c>
      <c r="K360" s="17" t="s">
        <v>274</v>
      </c>
      <c r="L360" s="14">
        <v>3.2577903682719546E-2</v>
      </c>
      <c r="M360" s="14">
        <v>7.8125E-2</v>
      </c>
    </row>
    <row r="361" spans="2:13" x14ac:dyDescent="0.25">
      <c r="C361" s="5" t="s">
        <v>5</v>
      </c>
      <c r="D361" s="5" t="s">
        <v>6</v>
      </c>
      <c r="K361" s="17" t="s">
        <v>275</v>
      </c>
      <c r="L361" s="14">
        <v>0.19263456090651557</v>
      </c>
      <c r="M361" s="14">
        <v>0.24374999999999999</v>
      </c>
    </row>
    <row r="362" spans="2:13" x14ac:dyDescent="0.25">
      <c r="B362" s="17" t="s">
        <v>276</v>
      </c>
      <c r="C362" s="14">
        <v>0.4098360655737705</v>
      </c>
      <c r="D362" s="14">
        <v>0.55194805194805197</v>
      </c>
      <c r="K362" s="17" t="s">
        <v>277</v>
      </c>
      <c r="L362" s="14">
        <v>0.17988668555240794</v>
      </c>
      <c r="M362" s="14">
        <v>0.27500000000000002</v>
      </c>
    </row>
    <row r="363" spans="2:13" x14ac:dyDescent="0.25">
      <c r="B363" s="17" t="s">
        <v>278</v>
      </c>
      <c r="C363" s="14">
        <v>0.53161592505854804</v>
      </c>
      <c r="D363" s="14">
        <v>0.40584415584415584</v>
      </c>
      <c r="K363" s="17" t="s">
        <v>279</v>
      </c>
      <c r="L363" s="14">
        <v>4.3909348441926344E-2</v>
      </c>
      <c r="M363" s="14">
        <v>3.7499999999999999E-2</v>
      </c>
    </row>
    <row r="364" spans="2:13" x14ac:dyDescent="0.25">
      <c r="B364" s="17" t="s">
        <v>280</v>
      </c>
      <c r="C364" s="14">
        <v>2.576112412177986E-2</v>
      </c>
      <c r="D364" s="14">
        <v>2.2727272727272728E-2</v>
      </c>
      <c r="K364" s="17" t="s">
        <v>281</v>
      </c>
      <c r="L364" s="14">
        <v>0.15439093484419264</v>
      </c>
      <c r="M364" s="14">
        <v>0.28125</v>
      </c>
    </row>
    <row r="365" spans="2:13" x14ac:dyDescent="0.25">
      <c r="B365" s="17" t="s">
        <v>282</v>
      </c>
      <c r="C365" s="14">
        <v>3.2786885245901641E-2</v>
      </c>
      <c r="D365" s="14">
        <v>1.948051948051948E-2</v>
      </c>
      <c r="K365" s="17" t="s">
        <v>283</v>
      </c>
      <c r="L365" s="14">
        <v>0.41643059490084988</v>
      </c>
      <c r="M365" s="14">
        <v>0.41562500000000002</v>
      </c>
    </row>
    <row r="366" spans="2:13" x14ac:dyDescent="0.25">
      <c r="K366" s="17" t="s">
        <v>284</v>
      </c>
      <c r="L366" s="14">
        <v>0.3356940509915014</v>
      </c>
      <c r="M366" s="14">
        <v>0.34687499999999999</v>
      </c>
    </row>
    <row r="367" spans="2:13" x14ac:dyDescent="0.25">
      <c r="B367" s="4" t="s">
        <v>285</v>
      </c>
      <c r="K367" s="17" t="s">
        <v>286</v>
      </c>
      <c r="L367" s="14">
        <v>0.10339943342776203</v>
      </c>
      <c r="M367" s="14">
        <v>0.22500000000000001</v>
      </c>
    </row>
    <row r="368" spans="2:13" x14ac:dyDescent="0.25">
      <c r="C368" s="5" t="s">
        <v>5</v>
      </c>
      <c r="D368" s="5" t="s">
        <v>6</v>
      </c>
      <c r="K368" s="17" t="s">
        <v>287</v>
      </c>
      <c r="L368" s="14">
        <v>4.5325779036827198E-2</v>
      </c>
      <c r="M368" s="14">
        <v>9.0624999999999997E-2</v>
      </c>
    </row>
    <row r="369" spans="2:13" x14ac:dyDescent="0.25">
      <c r="B369" s="17" t="s">
        <v>288</v>
      </c>
      <c r="C369" s="14">
        <v>0.39518413597733709</v>
      </c>
      <c r="D369" s="14">
        <v>0.67500000000000004</v>
      </c>
      <c r="K369" s="17" t="s">
        <v>289</v>
      </c>
      <c r="L369" s="14">
        <v>0.18130311614730879</v>
      </c>
      <c r="M369" s="14">
        <v>3.4375000000000003E-2</v>
      </c>
    </row>
    <row r="370" spans="2:13" x14ac:dyDescent="0.25">
      <c r="B370" s="17" t="s">
        <v>290</v>
      </c>
      <c r="C370" s="14">
        <v>0.25495750708215298</v>
      </c>
      <c r="D370" s="14">
        <v>0.28749999999999998</v>
      </c>
    </row>
    <row r="371" spans="2:13" x14ac:dyDescent="0.25">
      <c r="B371" s="17" t="s">
        <v>291</v>
      </c>
      <c r="C371" s="14">
        <v>0.54674220963172804</v>
      </c>
      <c r="D371" s="14">
        <v>0.75937500000000002</v>
      </c>
      <c r="K371" s="4" t="s">
        <v>292</v>
      </c>
    </row>
    <row r="372" spans="2:13" x14ac:dyDescent="0.25">
      <c r="B372" s="17" t="s">
        <v>293</v>
      </c>
      <c r="C372" s="14">
        <v>2.5495750708215296E-2</v>
      </c>
      <c r="D372" s="14">
        <v>0.15</v>
      </c>
      <c r="L372" s="5" t="s">
        <v>5</v>
      </c>
      <c r="M372" s="5" t="s">
        <v>6</v>
      </c>
    </row>
    <row r="373" spans="2:13" x14ac:dyDescent="0.25">
      <c r="B373" s="17" t="s">
        <v>294</v>
      </c>
      <c r="C373" s="14">
        <v>7.0821529745042494E-2</v>
      </c>
      <c r="D373" s="14">
        <v>8.1250000000000003E-2</v>
      </c>
      <c r="K373" s="17" t="s">
        <v>276</v>
      </c>
      <c r="L373" s="14">
        <v>0.68711656441717794</v>
      </c>
      <c r="M373" s="14">
        <v>0.63709677419354838</v>
      </c>
    </row>
    <row r="374" spans="2:13" x14ac:dyDescent="0.25">
      <c r="B374" s="17" t="s">
        <v>295</v>
      </c>
      <c r="C374" s="14">
        <v>5.0991501416430593E-2</v>
      </c>
      <c r="D374" s="14">
        <v>0.15312500000000001</v>
      </c>
      <c r="K374" s="17" t="s">
        <v>278</v>
      </c>
      <c r="L374" s="14">
        <v>0.28834355828220859</v>
      </c>
      <c r="M374" s="14">
        <v>0.34274193548387094</v>
      </c>
    </row>
    <row r="375" spans="2:13" x14ac:dyDescent="0.25">
      <c r="B375" s="17" t="s">
        <v>296</v>
      </c>
      <c r="C375" s="14">
        <v>2.1246458923512748E-2</v>
      </c>
      <c r="D375" s="14">
        <v>1.2500000000000001E-2</v>
      </c>
      <c r="K375" s="17" t="s">
        <v>280</v>
      </c>
      <c r="L375" s="14">
        <v>2.4539877300613498E-2</v>
      </c>
      <c r="M375" s="14">
        <v>1.6129032258064516E-2</v>
      </c>
    </row>
    <row r="376" spans="2:13" x14ac:dyDescent="0.25">
      <c r="B376" s="17" t="s">
        <v>297</v>
      </c>
      <c r="C376" s="14">
        <v>3.5410764872521247E-2</v>
      </c>
      <c r="D376" s="14">
        <v>2.1874999999999999E-2</v>
      </c>
      <c r="K376" s="17" t="s">
        <v>282</v>
      </c>
      <c r="L376" s="14">
        <v>0</v>
      </c>
      <c r="M376" s="14">
        <v>4.0322580645161289E-3</v>
      </c>
    </row>
    <row r="377" spans="2:13" x14ac:dyDescent="0.25">
      <c r="B377" s="17" t="s">
        <v>298</v>
      </c>
      <c r="C377" s="14">
        <v>2.2662889518413599E-2</v>
      </c>
      <c r="D377" s="14">
        <v>3.7499999999999999E-2</v>
      </c>
    </row>
    <row r="378" spans="2:13" x14ac:dyDescent="0.25">
      <c r="B378" s="17" t="s">
        <v>299</v>
      </c>
      <c r="C378" s="14">
        <v>5.6657223796033997E-3</v>
      </c>
      <c r="D378" s="14">
        <v>1.2500000000000001E-2</v>
      </c>
      <c r="K378" s="4" t="s">
        <v>300</v>
      </c>
    </row>
    <row r="379" spans="2:13" x14ac:dyDescent="0.25">
      <c r="B379" s="17" t="s">
        <v>301</v>
      </c>
      <c r="C379" s="14">
        <v>3.9660056657223795E-2</v>
      </c>
      <c r="D379" s="14">
        <v>9.3749999999999997E-3</v>
      </c>
      <c r="L379" s="5" t="s">
        <v>5</v>
      </c>
      <c r="M379" s="5" t="s">
        <v>6</v>
      </c>
    </row>
    <row r="380" spans="2:13" x14ac:dyDescent="0.25">
      <c r="B380" s="17" t="s">
        <v>302</v>
      </c>
      <c r="C380" s="14">
        <v>0.21246458923512748</v>
      </c>
      <c r="D380" s="14">
        <v>4.0625000000000001E-2</v>
      </c>
      <c r="K380" s="17" t="s">
        <v>303</v>
      </c>
      <c r="L380" s="14">
        <v>2.8328611898016998E-2</v>
      </c>
      <c r="M380" s="14">
        <v>0.33124999999999999</v>
      </c>
    </row>
    <row r="381" spans="2:13" x14ac:dyDescent="0.25">
      <c r="K381" s="17" t="s">
        <v>304</v>
      </c>
      <c r="L381" s="14">
        <v>1.69971671388102E-2</v>
      </c>
      <c r="M381" s="14">
        <v>0.140625</v>
      </c>
    </row>
    <row r="382" spans="2:13" x14ac:dyDescent="0.25">
      <c r="B382" s="4" t="s">
        <v>305</v>
      </c>
      <c r="K382" s="17" t="s">
        <v>306</v>
      </c>
      <c r="L382" s="14">
        <v>1.8413597733711047E-2</v>
      </c>
      <c r="M382" s="14">
        <v>8.1250000000000003E-2</v>
      </c>
    </row>
    <row r="383" spans="2:13" x14ac:dyDescent="0.25">
      <c r="C383" s="5" t="s">
        <v>5</v>
      </c>
      <c r="D383" s="5" t="s">
        <v>6</v>
      </c>
      <c r="K383" s="17" t="s">
        <v>307</v>
      </c>
      <c r="L383" s="14">
        <v>0.11473087818696884</v>
      </c>
      <c r="M383" s="14">
        <v>0.47187499999999999</v>
      </c>
    </row>
    <row r="384" spans="2:13" x14ac:dyDescent="0.25">
      <c r="B384" s="17" t="s">
        <v>46</v>
      </c>
      <c r="C384" s="14">
        <v>0.23087818696883852</v>
      </c>
      <c r="D384" s="14">
        <v>0.77812499999999996</v>
      </c>
      <c r="K384" s="17" t="s">
        <v>308</v>
      </c>
      <c r="L384" s="14">
        <v>9.3484419263456089E-2</v>
      </c>
      <c r="M384" s="14">
        <v>0.359375</v>
      </c>
    </row>
    <row r="385" spans="2:13" x14ac:dyDescent="0.25">
      <c r="B385" s="17" t="s">
        <v>309</v>
      </c>
      <c r="C385" s="14">
        <v>0.76912181303116145</v>
      </c>
      <c r="D385" s="14">
        <v>0.22187499999999999</v>
      </c>
      <c r="K385" s="17" t="s">
        <v>310</v>
      </c>
      <c r="L385" s="14">
        <v>7.9320113314447591E-2</v>
      </c>
      <c r="M385" s="14">
        <v>0.24062500000000001</v>
      </c>
    </row>
    <row r="386" spans="2:13" x14ac:dyDescent="0.25">
      <c r="K386" s="17" t="s">
        <v>311</v>
      </c>
      <c r="L386" s="14">
        <v>5.6657223796033997E-3</v>
      </c>
      <c r="M386" s="14">
        <v>3.4375000000000003E-2</v>
      </c>
    </row>
    <row r="387" spans="2:13" x14ac:dyDescent="0.25">
      <c r="B387" s="4" t="s">
        <v>312</v>
      </c>
      <c r="K387" s="17" t="s">
        <v>313</v>
      </c>
      <c r="L387" s="14">
        <v>3.8243626062322948E-2</v>
      </c>
      <c r="M387" s="14">
        <v>0.10312499999999999</v>
      </c>
    </row>
    <row r="388" spans="2:13" x14ac:dyDescent="0.25">
      <c r="C388" s="5" t="s">
        <v>5</v>
      </c>
      <c r="D388" s="5" t="s">
        <v>6</v>
      </c>
      <c r="K388" s="17" t="s">
        <v>314</v>
      </c>
      <c r="L388" s="14">
        <v>2.8328611898016998E-2</v>
      </c>
      <c r="M388" s="14">
        <v>0.1</v>
      </c>
    </row>
    <row r="389" spans="2:13" x14ac:dyDescent="0.25">
      <c r="B389" s="17" t="s">
        <v>315</v>
      </c>
      <c r="C389" s="14">
        <v>0.10056657223796034</v>
      </c>
      <c r="D389" s="14">
        <v>0.4</v>
      </c>
      <c r="K389" s="17" t="s">
        <v>316</v>
      </c>
      <c r="L389" s="14">
        <v>1.69971671388102E-2</v>
      </c>
      <c r="M389" s="14">
        <v>3.4375000000000003E-2</v>
      </c>
    </row>
    <row r="390" spans="2:13" x14ac:dyDescent="0.25">
      <c r="B390" s="17" t="s">
        <v>317</v>
      </c>
      <c r="C390" s="14">
        <v>2.4079320113314446E-2</v>
      </c>
      <c r="D390" s="14">
        <v>3.4375000000000003E-2</v>
      </c>
      <c r="K390" s="17" t="s">
        <v>318</v>
      </c>
      <c r="L390" s="14">
        <v>7.7903682719546744E-2</v>
      </c>
      <c r="M390" s="14">
        <v>0.11874999999999999</v>
      </c>
    </row>
    <row r="391" spans="2:13" x14ac:dyDescent="0.25">
      <c r="B391" s="17" t="s">
        <v>319</v>
      </c>
      <c r="C391" s="14">
        <v>0.1359773371104816</v>
      </c>
      <c r="D391" s="14">
        <v>0.640625</v>
      </c>
      <c r="K391" s="17" t="s">
        <v>289</v>
      </c>
      <c r="L391" s="14">
        <v>0.77053824362606227</v>
      </c>
      <c r="M391" s="14">
        <v>0.22812499999999999</v>
      </c>
    </row>
    <row r="392" spans="2:13" x14ac:dyDescent="0.25">
      <c r="B392" s="17" t="s">
        <v>320</v>
      </c>
      <c r="C392" s="14">
        <v>4.6742209631728045E-2</v>
      </c>
      <c r="D392" s="14">
        <v>0.13437499999999999</v>
      </c>
    </row>
    <row r="393" spans="2:13" x14ac:dyDescent="0.25">
      <c r="B393" s="17" t="s">
        <v>321</v>
      </c>
      <c r="C393" s="14">
        <v>0.77053824362606227</v>
      </c>
      <c r="D393" s="14">
        <v>0.22812499999999999</v>
      </c>
    </row>
    <row r="394" spans="2:13" x14ac:dyDescent="0.25">
      <c r="B394" s="17" t="s">
        <v>322</v>
      </c>
      <c r="C394" s="14">
        <v>4.3909348441926344E-2</v>
      </c>
      <c r="D394" s="14">
        <v>9.6875000000000003E-2</v>
      </c>
    </row>
    <row r="395" spans="2:13" x14ac:dyDescent="0.25">
      <c r="B395" s="17" t="s">
        <v>323</v>
      </c>
      <c r="C395" s="14">
        <v>0.10481586402266288</v>
      </c>
      <c r="D395" s="14">
        <v>0.19374999999999998</v>
      </c>
    </row>
    <row r="396" spans="2:13" x14ac:dyDescent="0.25">
      <c r="B396" s="17" t="s">
        <v>324</v>
      </c>
      <c r="C396" s="14">
        <v>2.2662889518413599E-2</v>
      </c>
      <c r="D396" s="14">
        <v>9.0625000000000011E-2</v>
      </c>
    </row>
    <row r="397" spans="2:13" x14ac:dyDescent="0.25">
      <c r="B397" s="17" t="s">
        <v>325</v>
      </c>
      <c r="C397" s="14">
        <v>1.9830028328611898E-2</v>
      </c>
      <c r="D397" s="14">
        <v>4.0625000000000001E-2</v>
      </c>
    </row>
    <row r="398" spans="2:13" x14ac:dyDescent="0.25">
      <c r="B398" s="20"/>
      <c r="C398" s="21"/>
      <c r="D398" s="21"/>
    </row>
    <row r="399" spans="2:13" x14ac:dyDescent="0.25">
      <c r="B399" s="20"/>
      <c r="C399" s="21"/>
      <c r="D399" s="21"/>
    </row>
    <row r="400" spans="2:13" ht="18.75" x14ac:dyDescent="0.3">
      <c r="B400" s="31" t="s">
        <v>326</v>
      </c>
      <c r="C400" s="21"/>
      <c r="D400" s="21"/>
    </row>
    <row r="402" spans="2:13" x14ac:dyDescent="0.25">
      <c r="B402" s="4" t="s">
        <v>327</v>
      </c>
      <c r="K402" s="4" t="s">
        <v>328</v>
      </c>
    </row>
    <row r="403" spans="2:13" x14ac:dyDescent="0.25">
      <c r="C403" s="5" t="s">
        <v>5</v>
      </c>
      <c r="D403" s="5" t="s">
        <v>6</v>
      </c>
      <c r="L403" s="5" t="s">
        <v>5</v>
      </c>
      <c r="M403" s="5" t="s">
        <v>6</v>
      </c>
    </row>
    <row r="404" spans="2:13" x14ac:dyDescent="0.25">
      <c r="B404" s="17" t="s">
        <v>329</v>
      </c>
      <c r="C404" s="14">
        <v>0.20942408376963351</v>
      </c>
      <c r="D404" s="14">
        <v>0.60655737704918034</v>
      </c>
      <c r="K404" s="17" t="s">
        <v>46</v>
      </c>
      <c r="L404" s="14">
        <v>0.33333333333333331</v>
      </c>
      <c r="M404" s="14">
        <v>0.89204545454545459</v>
      </c>
    </row>
    <row r="405" spans="2:13" x14ac:dyDescent="0.25">
      <c r="B405" s="17" t="s">
        <v>330</v>
      </c>
      <c r="C405" s="14">
        <v>0.45287958115183247</v>
      </c>
      <c r="D405" s="14">
        <v>0.3551912568306011</v>
      </c>
      <c r="K405" s="17" t="s">
        <v>309</v>
      </c>
      <c r="L405" s="14">
        <v>0.66666666666666663</v>
      </c>
      <c r="M405" s="14">
        <v>0.10795454545454546</v>
      </c>
    </row>
    <row r="406" spans="2:13" x14ac:dyDescent="0.25">
      <c r="B406" s="17" t="s">
        <v>331</v>
      </c>
      <c r="C406" s="14">
        <v>0.33769633507853403</v>
      </c>
      <c r="D406" s="14">
        <v>3.825136612021858E-2</v>
      </c>
    </row>
    <row r="407" spans="2:13" x14ac:dyDescent="0.25">
      <c r="K407" s="32" t="s">
        <v>332</v>
      </c>
    </row>
    <row r="408" spans="2:13" x14ac:dyDescent="0.25">
      <c r="L408" s="5" t="s">
        <v>5</v>
      </c>
      <c r="M408" s="5" t="s">
        <v>6</v>
      </c>
    </row>
    <row r="409" spans="2:13" x14ac:dyDescent="0.25">
      <c r="B409" s="4" t="s">
        <v>333</v>
      </c>
      <c r="K409" s="17" t="s">
        <v>334</v>
      </c>
      <c r="L409" s="14">
        <v>7.7519379844961239E-2</v>
      </c>
      <c r="M409" s="14">
        <v>4.2168674698795178E-2</v>
      </c>
    </row>
    <row r="410" spans="2:13" x14ac:dyDescent="0.25">
      <c r="C410" s="5" t="s">
        <v>5</v>
      </c>
      <c r="D410" s="5" t="s">
        <v>6</v>
      </c>
      <c r="K410" s="17" t="s">
        <v>335</v>
      </c>
      <c r="L410" s="14">
        <v>0.86821705426356588</v>
      </c>
      <c r="M410" s="14">
        <v>0.95783132530120485</v>
      </c>
    </row>
    <row r="411" spans="2:13" x14ac:dyDescent="0.25">
      <c r="B411" s="17" t="s">
        <v>46</v>
      </c>
      <c r="C411" s="14">
        <v>0.36893203883495146</v>
      </c>
      <c r="D411" s="14">
        <v>0.86549707602339176</v>
      </c>
      <c r="K411" s="17" t="s">
        <v>336</v>
      </c>
      <c r="L411" s="14">
        <v>5.4263565891472867E-2</v>
      </c>
      <c r="M411" s="14">
        <v>0</v>
      </c>
    </row>
    <row r="412" spans="2:13" x14ac:dyDescent="0.25">
      <c r="B412" s="17" t="s">
        <v>309</v>
      </c>
      <c r="C412" s="14">
        <v>0.6310679611650486</v>
      </c>
      <c r="D412" s="14">
        <v>0.13450292397660818</v>
      </c>
    </row>
    <row r="413" spans="2:13" x14ac:dyDescent="0.25">
      <c r="K413" s="32" t="s">
        <v>337</v>
      </c>
    </row>
    <row r="414" spans="2:13" x14ac:dyDescent="0.25">
      <c r="B414" s="4" t="s">
        <v>338</v>
      </c>
      <c r="L414" s="5" t="s">
        <v>5</v>
      </c>
      <c r="M414" s="5" t="s">
        <v>6</v>
      </c>
    </row>
    <row r="415" spans="2:13" x14ac:dyDescent="0.25">
      <c r="C415" s="5" t="s">
        <v>5</v>
      </c>
      <c r="D415" s="5" t="s">
        <v>6</v>
      </c>
      <c r="K415" s="17" t="s">
        <v>46</v>
      </c>
      <c r="L415" s="14">
        <v>0.16591928251121077</v>
      </c>
      <c r="M415" s="14">
        <v>0.40588235294117647</v>
      </c>
    </row>
    <row r="416" spans="2:13" x14ac:dyDescent="0.25">
      <c r="B416" s="17" t="s">
        <v>46</v>
      </c>
      <c r="C416" s="14">
        <v>0.20814479638009051</v>
      </c>
      <c r="D416" s="14">
        <v>0.80588235294117649</v>
      </c>
      <c r="K416" s="17" t="s">
        <v>99</v>
      </c>
      <c r="L416" s="14">
        <v>6.2780269058295965E-2</v>
      </c>
      <c r="M416" s="14">
        <v>7.6470588235294124E-2</v>
      </c>
    </row>
    <row r="417" spans="2:13" x14ac:dyDescent="0.25">
      <c r="B417" s="17" t="s">
        <v>99</v>
      </c>
      <c r="C417" s="14">
        <v>0.12669683257918551</v>
      </c>
      <c r="D417" s="14">
        <v>6.4705882352941183E-2</v>
      </c>
      <c r="K417" s="17" t="s">
        <v>47</v>
      </c>
      <c r="L417" s="14">
        <v>0.77130044843049328</v>
      </c>
      <c r="M417" s="14">
        <v>0.51764705882352946</v>
      </c>
    </row>
    <row r="418" spans="2:13" x14ac:dyDescent="0.25">
      <c r="B418" s="17" t="s">
        <v>47</v>
      </c>
      <c r="C418" s="14">
        <v>0.66515837104072395</v>
      </c>
      <c r="D418" s="14">
        <v>0.12941176470588237</v>
      </c>
    </row>
    <row r="420" spans="2:13" x14ac:dyDescent="0.25">
      <c r="B420" s="4" t="s">
        <v>339</v>
      </c>
    </row>
    <row r="421" spans="2:13" x14ac:dyDescent="0.25">
      <c r="C421" s="5" t="s">
        <v>5</v>
      </c>
      <c r="D421" s="5" t="s">
        <v>6</v>
      </c>
    </row>
    <row r="422" spans="2:13" x14ac:dyDescent="0.25">
      <c r="B422" s="17" t="s">
        <v>340</v>
      </c>
      <c r="C422" s="14">
        <v>0.58849557522123896</v>
      </c>
      <c r="D422" s="14">
        <v>0.86627906976744184</v>
      </c>
    </row>
    <row r="423" spans="2:13" x14ac:dyDescent="0.25">
      <c r="B423" s="17" t="s">
        <v>341</v>
      </c>
      <c r="C423" s="14">
        <v>0.16814159292035399</v>
      </c>
      <c r="D423" s="14">
        <v>9.3023255813953487E-2</v>
      </c>
    </row>
    <row r="424" spans="2:13" x14ac:dyDescent="0.25">
      <c r="B424" s="17" t="s">
        <v>342</v>
      </c>
      <c r="C424" s="14">
        <v>0.24336283185840707</v>
      </c>
      <c r="D424" s="14">
        <v>4.0697674418604654E-2</v>
      </c>
    </row>
    <row r="427" spans="2:13" ht="18.75" x14ac:dyDescent="0.3">
      <c r="B427" s="31" t="s">
        <v>343</v>
      </c>
    </row>
    <row r="428" spans="2:13" ht="18.75" x14ac:dyDescent="0.3">
      <c r="B428" s="31"/>
    </row>
    <row r="429" spans="2:13" x14ac:dyDescent="0.25">
      <c r="B429" s="4" t="s">
        <v>344</v>
      </c>
      <c r="K429" s="4" t="s">
        <v>345</v>
      </c>
    </row>
    <row r="430" spans="2:13" x14ac:dyDescent="0.25">
      <c r="C430" s="5" t="s">
        <v>5</v>
      </c>
      <c r="D430" s="5" t="s">
        <v>6</v>
      </c>
      <c r="L430" s="5" t="s">
        <v>5</v>
      </c>
      <c r="M430" s="5" t="s">
        <v>6</v>
      </c>
    </row>
    <row r="431" spans="2:13" x14ac:dyDescent="0.25">
      <c r="B431" s="17" t="s">
        <v>346</v>
      </c>
      <c r="C431" s="14">
        <v>0.15183246073298429</v>
      </c>
      <c r="D431" s="14">
        <v>0.4098360655737705</v>
      </c>
      <c r="K431" s="17" t="s">
        <v>46</v>
      </c>
      <c r="L431" s="14">
        <v>0.22307692307692309</v>
      </c>
      <c r="M431" s="14">
        <v>0.71296296296296291</v>
      </c>
    </row>
    <row r="432" spans="2:13" x14ac:dyDescent="0.25">
      <c r="B432" s="17" t="s">
        <v>347</v>
      </c>
      <c r="C432" s="14">
        <v>0.18848167539267016</v>
      </c>
      <c r="D432" s="14">
        <v>0.19125683060109289</v>
      </c>
      <c r="K432" s="17" t="s">
        <v>348</v>
      </c>
      <c r="L432" s="14">
        <v>0</v>
      </c>
      <c r="M432" s="14">
        <v>9.2592592592592587E-3</v>
      </c>
    </row>
    <row r="433" spans="2:13" x14ac:dyDescent="0.25">
      <c r="B433" s="17" t="s">
        <v>331</v>
      </c>
      <c r="C433" s="14">
        <v>0.65968586387434558</v>
      </c>
      <c r="D433" s="14">
        <v>0.39890710382513661</v>
      </c>
      <c r="K433" s="17" t="s">
        <v>309</v>
      </c>
      <c r="L433" s="14">
        <v>0.77692307692307694</v>
      </c>
      <c r="M433" s="14">
        <v>0.27777777777777779</v>
      </c>
    </row>
    <row r="435" spans="2:13" x14ac:dyDescent="0.25">
      <c r="B435" s="4" t="s">
        <v>349</v>
      </c>
      <c r="K435" s="32" t="s">
        <v>350</v>
      </c>
    </row>
    <row r="436" spans="2:13" x14ac:dyDescent="0.25">
      <c r="C436" s="5" t="s">
        <v>5</v>
      </c>
      <c r="D436" s="5" t="s">
        <v>6</v>
      </c>
      <c r="L436" s="5" t="s">
        <v>5</v>
      </c>
      <c r="M436" s="5" t="s">
        <v>6</v>
      </c>
    </row>
    <row r="437" spans="2:13" x14ac:dyDescent="0.25">
      <c r="B437" s="17" t="s">
        <v>46</v>
      </c>
      <c r="C437" s="14">
        <v>0.19780219780219779</v>
      </c>
      <c r="D437" s="14">
        <v>0.74736842105263157</v>
      </c>
      <c r="K437" s="17" t="s">
        <v>334</v>
      </c>
      <c r="L437" s="14">
        <v>0.109375</v>
      </c>
      <c r="M437" s="14">
        <v>3.5294117647058823E-2</v>
      </c>
    </row>
    <row r="438" spans="2:13" x14ac:dyDescent="0.25">
      <c r="B438" s="17" t="s">
        <v>309</v>
      </c>
      <c r="C438" s="14">
        <v>0.80219780219780223</v>
      </c>
      <c r="D438" s="14">
        <v>0.25263157894736843</v>
      </c>
      <c r="K438" s="17" t="s">
        <v>335</v>
      </c>
      <c r="L438" s="14">
        <v>0.796875</v>
      </c>
      <c r="M438" s="14">
        <v>0.95294117647058818</v>
      </c>
    </row>
    <row r="439" spans="2:13" x14ac:dyDescent="0.25">
      <c r="K439" s="17" t="s">
        <v>336</v>
      </c>
      <c r="L439" s="14">
        <v>9.375E-2</v>
      </c>
      <c r="M439" s="14">
        <v>1.1764705882352941E-2</v>
      </c>
    </row>
    <row r="440" spans="2:13" x14ac:dyDescent="0.25">
      <c r="B440" s="4" t="s">
        <v>351</v>
      </c>
    </row>
    <row r="441" spans="2:13" x14ac:dyDescent="0.25">
      <c r="C441" s="5" t="s">
        <v>5</v>
      </c>
      <c r="D441" s="5" t="s">
        <v>6</v>
      </c>
      <c r="K441" s="32" t="s">
        <v>352</v>
      </c>
    </row>
    <row r="442" spans="2:13" x14ac:dyDescent="0.25">
      <c r="B442" s="17" t="s">
        <v>46</v>
      </c>
      <c r="C442" s="14">
        <v>0.15463917525773196</v>
      </c>
      <c r="D442" s="14">
        <v>0.77647058823529413</v>
      </c>
      <c r="L442" s="5" t="s">
        <v>5</v>
      </c>
      <c r="M442" s="5" t="s">
        <v>6</v>
      </c>
    </row>
    <row r="443" spans="2:13" x14ac:dyDescent="0.25">
      <c r="B443" s="17" t="s">
        <v>99</v>
      </c>
      <c r="C443" s="14">
        <v>0.12371134020618557</v>
      </c>
      <c r="D443" s="14">
        <v>4.7058823529411764E-2</v>
      </c>
      <c r="K443" s="17" t="s">
        <v>46</v>
      </c>
      <c r="L443" s="14">
        <v>4.6511627906976744E-2</v>
      </c>
      <c r="M443" s="14">
        <v>8.6956521739130432E-2</v>
      </c>
    </row>
    <row r="444" spans="2:13" x14ac:dyDescent="0.25">
      <c r="B444" s="17" t="s">
        <v>47</v>
      </c>
      <c r="C444" s="14">
        <v>0.72164948453608246</v>
      </c>
      <c r="D444" s="14">
        <v>0.17647058823529413</v>
      </c>
      <c r="K444" s="17" t="s">
        <v>47</v>
      </c>
      <c r="L444" s="14">
        <v>0.93023255813953487</v>
      </c>
      <c r="M444" s="14">
        <v>0.86956521739130432</v>
      </c>
    </row>
    <row r="445" spans="2:13" x14ac:dyDescent="0.25">
      <c r="K445" s="17" t="s">
        <v>99</v>
      </c>
      <c r="L445" s="14">
        <v>2.3255813953488372E-2</v>
      </c>
      <c r="M445" s="14">
        <v>4.3478260869565216E-2</v>
      </c>
    </row>
    <row r="446" spans="2:13" x14ac:dyDescent="0.25">
      <c r="B446" s="4" t="s">
        <v>353</v>
      </c>
    </row>
    <row r="447" spans="2:13" x14ac:dyDescent="0.25">
      <c r="C447" s="5" t="s">
        <v>5</v>
      </c>
      <c r="D447" s="5" t="s">
        <v>6</v>
      </c>
    </row>
    <row r="448" spans="2:13" x14ac:dyDescent="0.25">
      <c r="B448" s="17" t="s">
        <v>340</v>
      </c>
      <c r="C448" s="14">
        <v>0.41818181818181815</v>
      </c>
      <c r="D448" s="14">
        <v>0.44</v>
      </c>
    </row>
    <row r="449" spans="2:13" x14ac:dyDescent="0.25">
      <c r="B449" s="17" t="s">
        <v>341</v>
      </c>
      <c r="C449" s="14">
        <v>0.27272727272727271</v>
      </c>
      <c r="D449" s="14">
        <v>0.04</v>
      </c>
    </row>
    <row r="450" spans="2:13" x14ac:dyDescent="0.25">
      <c r="B450" s="17" t="s">
        <v>342</v>
      </c>
      <c r="C450" s="14">
        <v>0.30909090909090908</v>
      </c>
      <c r="D450" s="14">
        <v>0.52</v>
      </c>
    </row>
    <row r="453" spans="2:13" ht="18.75" x14ac:dyDescent="0.3">
      <c r="B453" s="31" t="s">
        <v>354</v>
      </c>
    </row>
    <row r="454" spans="2:13" ht="18.75" x14ac:dyDescent="0.3">
      <c r="B454" s="31"/>
    </row>
    <row r="455" spans="2:13" x14ac:dyDescent="0.25">
      <c r="B455" s="4" t="s">
        <v>355</v>
      </c>
      <c r="K455" s="4" t="s">
        <v>356</v>
      </c>
    </row>
    <row r="456" spans="2:13" x14ac:dyDescent="0.25">
      <c r="C456" s="5" t="s">
        <v>5</v>
      </c>
      <c r="D456" s="5" t="s">
        <v>6</v>
      </c>
      <c r="L456" s="5" t="s">
        <v>5</v>
      </c>
      <c r="M456" s="5" t="s">
        <v>6</v>
      </c>
    </row>
    <row r="457" spans="2:13" x14ac:dyDescent="0.25">
      <c r="B457" s="17" t="s">
        <v>357</v>
      </c>
      <c r="C457" s="14">
        <v>0.65740740740740744</v>
      </c>
      <c r="D457" s="14">
        <v>0.97810218978102192</v>
      </c>
      <c r="K457" s="17" t="s">
        <v>46</v>
      </c>
      <c r="L457" s="14">
        <v>0.21698113207547171</v>
      </c>
      <c r="M457" s="14">
        <v>0.94736842105263153</v>
      </c>
    </row>
    <row r="458" spans="2:13" x14ac:dyDescent="0.25">
      <c r="B458" s="17" t="s">
        <v>331</v>
      </c>
      <c r="C458" s="14">
        <v>0.34259259259259262</v>
      </c>
      <c r="D458" s="14">
        <v>2.1897810218978103E-2</v>
      </c>
      <c r="K458" s="17" t="s">
        <v>309</v>
      </c>
      <c r="L458" s="14">
        <v>0.78301886792452835</v>
      </c>
      <c r="M458" s="14">
        <v>5.2631578947368418E-2</v>
      </c>
    </row>
    <row r="461" spans="2:13" x14ac:dyDescent="0.25">
      <c r="B461" s="4" t="s">
        <v>358</v>
      </c>
      <c r="K461" s="32" t="s">
        <v>359</v>
      </c>
    </row>
    <row r="462" spans="2:13" x14ac:dyDescent="0.25">
      <c r="C462" s="5" t="s">
        <v>5</v>
      </c>
      <c r="D462" s="5" t="s">
        <v>6</v>
      </c>
      <c r="L462" s="5" t="s">
        <v>5</v>
      </c>
      <c r="M462" s="5" t="s">
        <v>6</v>
      </c>
    </row>
    <row r="463" spans="2:13" x14ac:dyDescent="0.25">
      <c r="B463" s="17" t="s">
        <v>46</v>
      </c>
      <c r="C463" s="14">
        <v>0.67391304347826086</v>
      </c>
      <c r="D463" s="14">
        <v>0.98399999999999999</v>
      </c>
      <c r="K463" s="17" t="s">
        <v>334</v>
      </c>
      <c r="L463" s="14">
        <v>0.38709677419354838</v>
      </c>
      <c r="M463" s="14">
        <v>0.18181818181818182</v>
      </c>
    </row>
    <row r="464" spans="2:13" x14ac:dyDescent="0.25">
      <c r="B464" s="17" t="s">
        <v>309</v>
      </c>
      <c r="C464" s="14">
        <v>0.32608695652173914</v>
      </c>
      <c r="D464" s="14">
        <v>1.6E-2</v>
      </c>
      <c r="K464" s="17" t="s">
        <v>335</v>
      </c>
      <c r="L464" s="14">
        <v>6.4516129032258063E-2</v>
      </c>
      <c r="M464" s="14">
        <v>0.76859504132231404</v>
      </c>
    </row>
    <row r="465" spans="1:15" x14ac:dyDescent="0.25">
      <c r="K465" s="17" t="s">
        <v>336</v>
      </c>
      <c r="L465" s="14">
        <v>0.54838709677419351</v>
      </c>
      <c r="M465" s="14">
        <v>4.9586776859504134E-2</v>
      </c>
    </row>
    <row r="466" spans="1:15" x14ac:dyDescent="0.25">
      <c r="B466" s="4" t="s">
        <v>360</v>
      </c>
    </row>
    <row r="467" spans="1:15" x14ac:dyDescent="0.25">
      <c r="C467" s="5" t="s">
        <v>5</v>
      </c>
      <c r="D467" s="5" t="s">
        <v>6</v>
      </c>
      <c r="K467" s="32" t="s">
        <v>361</v>
      </c>
    </row>
    <row r="468" spans="1:15" x14ac:dyDescent="0.25">
      <c r="B468" s="17" t="s">
        <v>46</v>
      </c>
      <c r="C468" s="14">
        <v>2.6912181303116147E-2</v>
      </c>
      <c r="D468" s="14">
        <v>0.92063492063492058</v>
      </c>
      <c r="L468" s="5" t="s">
        <v>5</v>
      </c>
      <c r="M468" s="5" t="s">
        <v>6</v>
      </c>
    </row>
    <row r="469" spans="1:15" x14ac:dyDescent="0.25">
      <c r="B469" s="17" t="s">
        <v>99</v>
      </c>
      <c r="C469" s="14">
        <v>1.9830028328611898E-2</v>
      </c>
      <c r="D469" s="14">
        <v>1.5873015873015872E-2</v>
      </c>
      <c r="K469" s="17" t="s">
        <v>46</v>
      </c>
      <c r="L469" s="14">
        <v>3.2577903682719546E-2</v>
      </c>
      <c r="M469" s="14">
        <v>0.85820895522388063</v>
      </c>
    </row>
    <row r="470" spans="1:15" x14ac:dyDescent="0.25">
      <c r="B470" s="17" t="s">
        <v>47</v>
      </c>
      <c r="C470" s="14">
        <v>0.95325779036827196</v>
      </c>
      <c r="D470" s="14">
        <v>6.3492063492063489E-2</v>
      </c>
      <c r="K470" s="17" t="s">
        <v>99</v>
      </c>
      <c r="L470" s="14">
        <v>4.24929178470255E-3</v>
      </c>
      <c r="M470" s="14">
        <v>2.2388059701492536E-2</v>
      </c>
    </row>
    <row r="471" spans="1:15" x14ac:dyDescent="0.25">
      <c r="K471" s="17" t="s">
        <v>47</v>
      </c>
      <c r="L471" s="14">
        <v>0.96317280453257792</v>
      </c>
      <c r="M471" s="14">
        <v>0.11940298507462686</v>
      </c>
    </row>
    <row r="473" spans="1:15" ht="21" x14ac:dyDescent="0.35">
      <c r="B473" s="3" t="s">
        <v>362</v>
      </c>
    </row>
    <row r="475" spans="1:15" x14ac:dyDescent="0.25">
      <c r="B475" s="4" t="s">
        <v>363</v>
      </c>
      <c r="K475" s="4" t="s">
        <v>364</v>
      </c>
    </row>
    <row r="476" spans="1:15" x14ac:dyDescent="0.25">
      <c r="C476" s="5" t="s">
        <v>5</v>
      </c>
      <c r="D476" s="5" t="s">
        <v>6</v>
      </c>
      <c r="F476" s="5" t="s">
        <v>199</v>
      </c>
      <c r="L476" s="5" t="s">
        <v>5</v>
      </c>
      <c r="M476" s="5" t="s">
        <v>6</v>
      </c>
      <c r="O476" s="5" t="s">
        <v>199</v>
      </c>
    </row>
    <row r="477" spans="1:15" x14ac:dyDescent="0.25">
      <c r="A477" s="33" t="s">
        <v>365</v>
      </c>
      <c r="B477" s="17" t="s">
        <v>366</v>
      </c>
      <c r="C477" s="14">
        <v>0.88526912181303108</v>
      </c>
      <c r="D477" s="14">
        <v>0.97187499999999993</v>
      </c>
      <c r="F477" s="19">
        <f>D477-C477</f>
        <v>8.6605878186968854E-2</v>
      </c>
      <c r="J477" s="33" t="s">
        <v>365</v>
      </c>
      <c r="K477" s="17" t="s">
        <v>366</v>
      </c>
      <c r="L477" s="14">
        <v>0.23512747875354106</v>
      </c>
      <c r="M477" s="14">
        <v>0.52812499999999996</v>
      </c>
      <c r="O477" s="19">
        <f>M477-L477</f>
        <v>0.29299752124645889</v>
      </c>
    </row>
    <row r="478" spans="1:15" x14ac:dyDescent="0.25">
      <c r="A478" s="33"/>
      <c r="B478" s="17" t="s">
        <v>367</v>
      </c>
      <c r="C478" s="14">
        <v>0.78186968838526916</v>
      </c>
      <c r="D478" s="14">
        <v>0.97812499999999991</v>
      </c>
      <c r="F478" s="19">
        <f t="shared" ref="F478:F488" si="21">D478-C478</f>
        <v>0.19625531161473075</v>
      </c>
      <c r="J478" s="33"/>
      <c r="K478" s="17" t="s">
        <v>367</v>
      </c>
      <c r="L478" s="14">
        <v>0.1501416430594901</v>
      </c>
      <c r="M478" s="14">
        <v>0.48749999999999999</v>
      </c>
      <c r="O478" s="19">
        <f t="shared" ref="O478:O488" si="22">M478-L478</f>
        <v>0.33735835694050986</v>
      </c>
    </row>
    <row r="479" spans="1:15" x14ac:dyDescent="0.25">
      <c r="A479" s="33"/>
      <c r="B479" s="17" t="s">
        <v>368</v>
      </c>
      <c r="C479" s="14">
        <v>0.93484419263456087</v>
      </c>
      <c r="D479" s="14">
        <v>0.99374999999999991</v>
      </c>
      <c r="F479" s="19">
        <f t="shared" si="21"/>
        <v>5.8905807365439045E-2</v>
      </c>
      <c r="J479" s="33"/>
      <c r="K479" s="17" t="s">
        <v>368</v>
      </c>
      <c r="L479" s="14">
        <v>0.27337110481586402</v>
      </c>
      <c r="M479" s="14">
        <v>0.46562500000000001</v>
      </c>
      <c r="O479" s="19">
        <f t="shared" si="22"/>
        <v>0.19225389518413599</v>
      </c>
    </row>
    <row r="480" spans="1:15" x14ac:dyDescent="0.25">
      <c r="A480" s="33" t="s">
        <v>369</v>
      </c>
      <c r="B480" s="17" t="s">
        <v>370</v>
      </c>
      <c r="C480" s="14">
        <v>0.88243626062322944</v>
      </c>
      <c r="D480" s="14">
        <v>0.97500000000000009</v>
      </c>
      <c r="F480" s="19">
        <f t="shared" si="21"/>
        <v>9.2563739376770648E-2</v>
      </c>
      <c r="J480" s="33" t="s">
        <v>369</v>
      </c>
      <c r="K480" s="17" t="s">
        <v>370</v>
      </c>
      <c r="L480" s="14">
        <v>0.20538243626062322</v>
      </c>
      <c r="M480" s="14">
        <v>0.45</v>
      </c>
      <c r="O480" s="19">
        <f t="shared" si="22"/>
        <v>0.24461756373937679</v>
      </c>
    </row>
    <row r="481" spans="1:15" x14ac:dyDescent="0.25">
      <c r="A481" s="33"/>
      <c r="B481" s="17" t="s">
        <v>371</v>
      </c>
      <c r="C481" s="14">
        <v>0.81161473087818703</v>
      </c>
      <c r="D481" s="14">
        <v>0.99062499999999998</v>
      </c>
      <c r="F481" s="19">
        <f t="shared" si="21"/>
        <v>0.17901026912181295</v>
      </c>
      <c r="J481" s="33"/>
      <c r="K481" s="17" t="s">
        <v>371</v>
      </c>
      <c r="L481" s="14">
        <v>0.19971671388101983</v>
      </c>
      <c r="M481" s="14">
        <v>0.46875</v>
      </c>
      <c r="O481" s="19">
        <f t="shared" si="22"/>
        <v>0.26903328611898014</v>
      </c>
    </row>
    <row r="482" spans="1:15" x14ac:dyDescent="0.25">
      <c r="A482" s="33"/>
      <c r="B482" s="17" t="s">
        <v>372</v>
      </c>
      <c r="C482" s="14">
        <v>0.72096317280453248</v>
      </c>
      <c r="D482" s="14">
        <v>0.96875</v>
      </c>
      <c r="F482" s="19">
        <f t="shared" si="21"/>
        <v>0.24778682719546752</v>
      </c>
      <c r="J482" s="33"/>
      <c r="K482" s="17" t="s">
        <v>372</v>
      </c>
      <c r="L482" s="14">
        <v>0.16713881019830029</v>
      </c>
      <c r="M482" s="14">
        <v>0.44062499999999999</v>
      </c>
      <c r="O482" s="19">
        <f t="shared" si="22"/>
        <v>0.2734861898016997</v>
      </c>
    </row>
    <row r="483" spans="1:15" x14ac:dyDescent="0.25">
      <c r="A483" s="33"/>
      <c r="B483" s="17" t="s">
        <v>373</v>
      </c>
      <c r="C483" s="14">
        <v>0.71104815864022664</v>
      </c>
      <c r="D483" s="14">
        <v>0.984375</v>
      </c>
      <c r="F483" s="19">
        <f t="shared" si="21"/>
        <v>0.27332684135977336</v>
      </c>
      <c r="J483" s="33"/>
      <c r="K483" s="17" t="s">
        <v>373</v>
      </c>
      <c r="L483" s="14">
        <v>0.17705382436260622</v>
      </c>
      <c r="M483" s="14">
        <v>0.40937499999999999</v>
      </c>
      <c r="O483" s="19">
        <f t="shared" si="22"/>
        <v>0.23232117563739377</v>
      </c>
    </row>
    <row r="484" spans="1:15" x14ac:dyDescent="0.25">
      <c r="A484" s="33" t="s">
        <v>374</v>
      </c>
      <c r="B484" s="17" t="s">
        <v>375</v>
      </c>
      <c r="C484" s="14">
        <v>0.59065155807365444</v>
      </c>
      <c r="D484" s="14">
        <v>0.94062500000000004</v>
      </c>
      <c r="F484" s="19">
        <f t="shared" si="21"/>
        <v>0.34997344192634561</v>
      </c>
      <c r="J484" s="33" t="s">
        <v>374</v>
      </c>
      <c r="K484" s="17" t="s">
        <v>375</v>
      </c>
      <c r="L484" s="14">
        <v>0.10906515580736544</v>
      </c>
      <c r="M484" s="14">
        <v>0.421875</v>
      </c>
      <c r="O484" s="19">
        <f t="shared" si="22"/>
        <v>0.31280984419263458</v>
      </c>
    </row>
    <row r="485" spans="1:15" x14ac:dyDescent="0.25">
      <c r="A485" s="33"/>
      <c r="B485" s="17" t="s">
        <v>376</v>
      </c>
      <c r="C485" s="14">
        <v>0.60906515580736542</v>
      </c>
      <c r="D485" s="14">
        <v>0.92500000000000004</v>
      </c>
      <c r="F485" s="19">
        <f t="shared" si="21"/>
        <v>0.31593484419263462</v>
      </c>
      <c r="J485" s="33"/>
      <c r="K485" s="17" t="s">
        <v>376</v>
      </c>
      <c r="L485" s="14">
        <v>0.12322946175637393</v>
      </c>
      <c r="M485" s="14">
        <v>0.40312500000000001</v>
      </c>
      <c r="O485" s="19">
        <f t="shared" si="22"/>
        <v>0.27989553824362606</v>
      </c>
    </row>
    <row r="486" spans="1:15" x14ac:dyDescent="0.25">
      <c r="A486" s="33"/>
      <c r="B486" s="17" t="s">
        <v>377</v>
      </c>
      <c r="C486" s="14">
        <v>0.54815864022662886</v>
      </c>
      <c r="D486" s="14">
        <v>0.921875</v>
      </c>
      <c r="F486" s="19">
        <f t="shared" si="21"/>
        <v>0.37371635977337114</v>
      </c>
      <c r="J486" s="33"/>
      <c r="K486" s="17" t="s">
        <v>377</v>
      </c>
      <c r="L486" s="14">
        <v>9.3484419263456089E-2</v>
      </c>
      <c r="M486" s="14">
        <v>0.41249999999999998</v>
      </c>
      <c r="O486" s="19">
        <f t="shared" si="22"/>
        <v>0.3190155807365439</v>
      </c>
    </row>
    <row r="487" spans="1:15" x14ac:dyDescent="0.25">
      <c r="A487" s="33"/>
      <c r="B487" s="17" t="s">
        <v>378</v>
      </c>
      <c r="C487" s="14">
        <v>0.75779036827195467</v>
      </c>
      <c r="D487" s="14">
        <v>0.96875</v>
      </c>
      <c r="F487" s="19">
        <f t="shared" si="21"/>
        <v>0.21095963172804533</v>
      </c>
      <c r="J487" s="33"/>
      <c r="K487" s="17" t="s">
        <v>378</v>
      </c>
      <c r="L487" s="14">
        <v>9.3484419263456089E-2</v>
      </c>
      <c r="M487" s="14">
        <v>0.38124999999999998</v>
      </c>
      <c r="O487" s="19">
        <f t="shared" si="22"/>
        <v>0.2877655807365439</v>
      </c>
    </row>
    <row r="488" spans="1:15" x14ac:dyDescent="0.25">
      <c r="A488" s="33"/>
      <c r="B488" s="17" t="s">
        <v>379</v>
      </c>
      <c r="C488" s="14">
        <v>0.61473087818696881</v>
      </c>
      <c r="D488" s="14">
        <v>0.92500000000000004</v>
      </c>
      <c r="F488" s="19">
        <f t="shared" si="21"/>
        <v>0.31026912181303123</v>
      </c>
      <c r="J488" s="33"/>
      <c r="K488" s="17" t="s">
        <v>379</v>
      </c>
      <c r="L488" s="14">
        <v>9.7733711048158645E-2</v>
      </c>
      <c r="M488" s="14">
        <v>0.390625</v>
      </c>
      <c r="O488" s="19">
        <f t="shared" si="22"/>
        <v>0.29289128895184136</v>
      </c>
    </row>
    <row r="490" spans="1:15" x14ac:dyDescent="0.25">
      <c r="B490" s="4" t="s">
        <v>380</v>
      </c>
      <c r="J490" s="4" t="s">
        <v>381</v>
      </c>
    </row>
    <row r="491" spans="1:15" x14ac:dyDescent="0.25">
      <c r="C491" s="5" t="s">
        <v>5</v>
      </c>
      <c r="D491" s="5" t="s">
        <v>6</v>
      </c>
      <c r="F491" s="5" t="s">
        <v>199</v>
      </c>
      <c r="L491" s="5" t="s">
        <v>5</v>
      </c>
      <c r="M491" s="5" t="s">
        <v>6</v>
      </c>
      <c r="O491" s="5" t="s">
        <v>199</v>
      </c>
    </row>
    <row r="492" spans="1:15" x14ac:dyDescent="0.25">
      <c r="A492" s="33" t="s">
        <v>382</v>
      </c>
      <c r="B492" s="17" t="s">
        <v>383</v>
      </c>
      <c r="C492" s="14">
        <v>0.75779036827195467</v>
      </c>
      <c r="D492" s="14">
        <v>0.95625000000000004</v>
      </c>
      <c r="F492" s="19">
        <f>D492-C492</f>
        <v>0.19845963172804537</v>
      </c>
      <c r="J492" s="33" t="s">
        <v>382</v>
      </c>
      <c r="K492" s="17" t="s">
        <v>383</v>
      </c>
      <c r="L492" s="14">
        <v>0.35269121813031162</v>
      </c>
      <c r="M492" s="14">
        <v>0.5</v>
      </c>
      <c r="O492" s="19">
        <f>M492-L492</f>
        <v>0.14730878186968838</v>
      </c>
    </row>
    <row r="493" spans="1:15" x14ac:dyDescent="0.25">
      <c r="A493" s="33"/>
      <c r="B493" s="17" t="s">
        <v>384</v>
      </c>
      <c r="C493" s="14">
        <v>0.5254957507082153</v>
      </c>
      <c r="D493" s="14">
        <v>0.87187499999999996</v>
      </c>
      <c r="F493" s="19">
        <f t="shared" ref="F493:F500" si="23">D493-C493</f>
        <v>0.34637924929178465</v>
      </c>
      <c r="J493" s="33"/>
      <c r="K493" s="17" t="s">
        <v>384</v>
      </c>
      <c r="L493" s="14">
        <v>0.17280453257790368</v>
      </c>
      <c r="M493" s="14">
        <v>0.45937499999999998</v>
      </c>
      <c r="O493" s="19">
        <f t="shared" ref="O493:O500" si="24">M493-L493</f>
        <v>0.2865704674220963</v>
      </c>
    </row>
    <row r="494" spans="1:15" x14ac:dyDescent="0.25">
      <c r="A494" s="33"/>
      <c r="B494" s="17" t="s">
        <v>385</v>
      </c>
      <c r="C494" s="14">
        <v>0.67563739376770537</v>
      </c>
      <c r="D494" s="14">
        <v>0.94374999999999998</v>
      </c>
      <c r="F494" s="19">
        <f t="shared" si="23"/>
        <v>0.2681126062322946</v>
      </c>
      <c r="J494" s="33"/>
      <c r="K494" s="17" t="s">
        <v>385</v>
      </c>
      <c r="L494" s="14">
        <v>0.27903682719546741</v>
      </c>
      <c r="M494" s="14">
        <v>0.453125</v>
      </c>
      <c r="O494" s="19">
        <f t="shared" si="24"/>
        <v>0.17408817280453259</v>
      </c>
    </row>
    <row r="495" spans="1:15" x14ac:dyDescent="0.25">
      <c r="A495" s="33"/>
      <c r="B495" s="17" t="s">
        <v>386</v>
      </c>
      <c r="C495" s="14">
        <v>0.80028328611898014</v>
      </c>
      <c r="D495" s="14">
        <v>0.96249999999999991</v>
      </c>
      <c r="F495" s="19">
        <f t="shared" si="23"/>
        <v>0.16221671388101977</v>
      </c>
      <c r="J495" s="33"/>
      <c r="K495" s="17" t="s">
        <v>386</v>
      </c>
      <c r="L495" s="14">
        <v>0.35552407932011332</v>
      </c>
      <c r="M495" s="14">
        <v>0.47499999999999998</v>
      </c>
      <c r="O495" s="19">
        <f t="shared" si="24"/>
        <v>0.11947592067988666</v>
      </c>
    </row>
    <row r="496" spans="1:15" x14ac:dyDescent="0.25">
      <c r="A496" s="33"/>
      <c r="B496" s="17" t="s">
        <v>387</v>
      </c>
      <c r="C496" s="14">
        <v>0.59631728045325771</v>
      </c>
      <c r="D496" s="14">
        <v>0.89999999999999991</v>
      </c>
      <c r="F496" s="19">
        <f t="shared" si="23"/>
        <v>0.3036827195467422</v>
      </c>
      <c r="J496" s="33"/>
      <c r="K496" s="17" t="s">
        <v>387</v>
      </c>
      <c r="L496" s="14">
        <v>0.18555240793201133</v>
      </c>
      <c r="M496" s="14">
        <v>0.44374999999999998</v>
      </c>
      <c r="O496" s="19">
        <f t="shared" si="24"/>
        <v>0.25819759206798865</v>
      </c>
    </row>
    <row r="497" spans="1:15" x14ac:dyDescent="0.25">
      <c r="A497" s="23" t="s">
        <v>388</v>
      </c>
      <c r="B497" s="17" t="s">
        <v>389</v>
      </c>
      <c r="C497" s="14">
        <v>0.5184135977337111</v>
      </c>
      <c r="D497" s="14">
        <v>0.86562500000000009</v>
      </c>
      <c r="F497" s="19">
        <f t="shared" si="23"/>
        <v>0.34721140226628899</v>
      </c>
      <c r="J497" s="23" t="s">
        <v>388</v>
      </c>
      <c r="K497" s="17" t="s">
        <v>389</v>
      </c>
      <c r="L497" s="14">
        <v>0.18413597733711048</v>
      </c>
      <c r="M497" s="14">
        <v>0.43125000000000002</v>
      </c>
      <c r="O497" s="19">
        <f t="shared" si="24"/>
        <v>0.24711402266288954</v>
      </c>
    </row>
    <row r="498" spans="1:15" x14ac:dyDescent="0.25">
      <c r="A498" s="23"/>
      <c r="B498" s="17" t="s">
        <v>390</v>
      </c>
      <c r="C498" s="14">
        <v>0.70538243626062314</v>
      </c>
      <c r="D498" s="14">
        <v>0.93124999999999991</v>
      </c>
      <c r="F498" s="19">
        <f t="shared" si="23"/>
        <v>0.22586756373937678</v>
      </c>
      <c r="J498" s="23"/>
      <c r="K498" s="17" t="s">
        <v>390</v>
      </c>
      <c r="L498" s="14">
        <v>0.26628895184135976</v>
      </c>
      <c r="M498" s="14">
        <v>0.40937499999999999</v>
      </c>
      <c r="O498" s="19">
        <f t="shared" si="24"/>
        <v>0.14308604815864023</v>
      </c>
    </row>
    <row r="499" spans="1:15" x14ac:dyDescent="0.25">
      <c r="A499" s="23"/>
      <c r="B499" s="17" t="s">
        <v>391</v>
      </c>
      <c r="C499" s="14">
        <v>0.14164305949008499</v>
      </c>
      <c r="D499" s="14">
        <v>0.234375</v>
      </c>
      <c r="F499" s="19">
        <f t="shared" si="23"/>
        <v>9.2731940509915012E-2</v>
      </c>
      <c r="J499" s="23"/>
      <c r="K499" s="17" t="s">
        <v>391</v>
      </c>
      <c r="L499" s="14">
        <v>5.0991501416430593E-2</v>
      </c>
      <c r="M499" s="14">
        <v>6.8750000000000006E-2</v>
      </c>
      <c r="O499" s="19">
        <f t="shared" si="24"/>
        <v>1.7758498583569413E-2</v>
      </c>
    </row>
    <row r="500" spans="1:15" x14ac:dyDescent="0.25">
      <c r="A500" s="23"/>
      <c r="B500" s="17" t="s">
        <v>392</v>
      </c>
      <c r="C500" s="14">
        <v>0.73371104815864019</v>
      </c>
      <c r="D500" s="14">
        <v>0.953125</v>
      </c>
      <c r="F500" s="19">
        <f t="shared" si="23"/>
        <v>0.21941395184135981</v>
      </c>
      <c r="J500" s="23"/>
      <c r="K500" s="17" t="s">
        <v>392</v>
      </c>
      <c r="L500" s="14">
        <v>0.37393767705382436</v>
      </c>
      <c r="M500" s="14">
        <v>0.5625</v>
      </c>
      <c r="O500" s="19">
        <f t="shared" si="24"/>
        <v>0.18856232294617564</v>
      </c>
    </row>
    <row r="503" spans="1:15" ht="21" x14ac:dyDescent="0.35">
      <c r="B503" s="3" t="s">
        <v>393</v>
      </c>
    </row>
    <row r="505" spans="1:15" x14ac:dyDescent="0.25">
      <c r="B505" s="4" t="s">
        <v>394</v>
      </c>
      <c r="K505" s="4" t="s">
        <v>395</v>
      </c>
    </row>
    <row r="506" spans="1:15" x14ac:dyDescent="0.25">
      <c r="C506" s="5" t="s">
        <v>5</v>
      </c>
      <c r="D506" s="5" t="s">
        <v>6</v>
      </c>
      <c r="F506" s="5" t="s">
        <v>199</v>
      </c>
      <c r="L506" s="5" t="s">
        <v>5</v>
      </c>
      <c r="M506" s="5" t="s">
        <v>6</v>
      </c>
      <c r="O506" s="5" t="s">
        <v>199</v>
      </c>
    </row>
    <row r="507" spans="1:15" x14ac:dyDescent="0.25">
      <c r="B507" s="17" t="s">
        <v>396</v>
      </c>
      <c r="C507" s="14">
        <v>0.66147308781869685</v>
      </c>
      <c r="D507" s="14">
        <v>0.76249999999999996</v>
      </c>
      <c r="F507" s="19">
        <f>D507-C507</f>
        <v>0.10102691218130311</v>
      </c>
      <c r="K507" s="17" t="s">
        <v>396</v>
      </c>
      <c r="L507" s="14">
        <v>0.21529745042492918</v>
      </c>
      <c r="M507" s="14">
        <v>0.28749999999999998</v>
      </c>
      <c r="O507" s="19">
        <f>M507-L507</f>
        <v>7.2202549575070801E-2</v>
      </c>
    </row>
    <row r="508" spans="1:15" x14ac:dyDescent="0.25">
      <c r="B508" s="17" t="s">
        <v>397</v>
      </c>
      <c r="C508" s="14">
        <v>0.64447592067988668</v>
      </c>
      <c r="D508" s="14">
        <v>0.74062499999999998</v>
      </c>
      <c r="F508" s="19">
        <f t="shared" ref="F508:F516" si="25">D508-C508</f>
        <v>9.6149079320113295E-2</v>
      </c>
      <c r="K508" s="17" t="s">
        <v>397</v>
      </c>
      <c r="L508" s="14">
        <v>0.15580736543909349</v>
      </c>
      <c r="M508" s="14">
        <v>0.234375</v>
      </c>
      <c r="O508" s="19">
        <f t="shared" ref="O508:O516" si="26">M508-L508</f>
        <v>7.8567634560906513E-2</v>
      </c>
    </row>
    <row r="509" spans="1:15" x14ac:dyDescent="0.25">
      <c r="B509" s="17" t="s">
        <v>398</v>
      </c>
      <c r="C509" s="14">
        <v>0.40198863636363635</v>
      </c>
      <c r="D509" s="14">
        <v>0.75394321766561512</v>
      </c>
      <c r="F509" s="19">
        <f t="shared" si="25"/>
        <v>0.35195458130197876</v>
      </c>
      <c r="K509" s="17" t="s">
        <v>398</v>
      </c>
      <c r="L509" s="14">
        <v>6.8181818181818177E-2</v>
      </c>
      <c r="M509" s="14">
        <v>0.27760252365930599</v>
      </c>
      <c r="O509" s="19">
        <f t="shared" si="26"/>
        <v>0.20942070547748781</v>
      </c>
    </row>
    <row r="510" spans="1:15" x14ac:dyDescent="0.25">
      <c r="B510" s="17" t="s">
        <v>399</v>
      </c>
      <c r="C510" s="14">
        <v>0.36827195467422097</v>
      </c>
      <c r="D510" s="14">
        <v>0.55312499999999998</v>
      </c>
      <c r="F510" s="19">
        <f t="shared" si="25"/>
        <v>0.18485304532577901</v>
      </c>
      <c r="K510" s="17" t="s">
        <v>399</v>
      </c>
      <c r="L510" s="14">
        <v>0.10481586402266289</v>
      </c>
      <c r="M510" s="14">
        <v>0.21875</v>
      </c>
      <c r="O510" s="19">
        <f t="shared" si="26"/>
        <v>0.11393413597733711</v>
      </c>
    </row>
    <row r="511" spans="1:15" x14ac:dyDescent="0.25">
      <c r="B511" s="17" t="s">
        <v>400</v>
      </c>
      <c r="C511" s="14">
        <v>0.22804532577903683</v>
      </c>
      <c r="D511" s="14">
        <v>0.49687499999999996</v>
      </c>
      <c r="F511" s="19">
        <f t="shared" si="25"/>
        <v>0.26882967422096316</v>
      </c>
      <c r="K511" s="17" t="s">
        <v>400</v>
      </c>
      <c r="L511" s="14">
        <v>2.8328611898016998E-2</v>
      </c>
      <c r="M511" s="14">
        <v>0.16250000000000001</v>
      </c>
      <c r="O511" s="19">
        <f t="shared" si="26"/>
        <v>0.13417138810198301</v>
      </c>
    </row>
    <row r="512" spans="1:15" x14ac:dyDescent="0.25">
      <c r="B512" s="17" t="s">
        <v>401</v>
      </c>
      <c r="C512" s="14">
        <v>0.57932011331444755</v>
      </c>
      <c r="D512" s="14">
        <v>0.85</v>
      </c>
      <c r="F512" s="19">
        <f t="shared" si="25"/>
        <v>0.27067988668555243</v>
      </c>
      <c r="K512" s="17" t="s">
        <v>401</v>
      </c>
      <c r="L512" s="14">
        <v>0.10198300283286119</v>
      </c>
      <c r="M512" s="14">
        <v>0.24062500000000001</v>
      </c>
      <c r="O512" s="19">
        <f t="shared" si="26"/>
        <v>0.13864199716713882</v>
      </c>
    </row>
    <row r="513" spans="2:15" x14ac:dyDescent="0.25">
      <c r="B513" s="17" t="s">
        <v>402</v>
      </c>
      <c r="C513" s="14">
        <v>0.70538243626062314</v>
      </c>
      <c r="D513" s="14">
        <v>0.91250000000000009</v>
      </c>
      <c r="F513" s="19">
        <f t="shared" si="25"/>
        <v>0.20711756373937695</v>
      </c>
      <c r="K513" s="17" t="s">
        <v>402</v>
      </c>
      <c r="L513" s="14">
        <v>0.11048158640226628</v>
      </c>
      <c r="M513" s="14">
        <v>0.19062499999999999</v>
      </c>
      <c r="O513" s="19">
        <f t="shared" si="26"/>
        <v>8.0143413597733706E-2</v>
      </c>
    </row>
    <row r="514" spans="2:15" x14ac:dyDescent="0.25">
      <c r="B514" s="17" t="s">
        <v>403</v>
      </c>
      <c r="C514" s="14">
        <v>0.73654390934844194</v>
      </c>
      <c r="D514" s="14">
        <v>0.890625</v>
      </c>
      <c r="F514" s="19">
        <f t="shared" si="25"/>
        <v>0.15408109065155806</v>
      </c>
      <c r="K514" s="17" t="s">
        <v>403</v>
      </c>
      <c r="L514" s="14">
        <v>0.12747875354107649</v>
      </c>
      <c r="M514" s="14">
        <v>0.203125</v>
      </c>
      <c r="O514" s="19">
        <f t="shared" si="26"/>
        <v>7.5646246458923511E-2</v>
      </c>
    </row>
    <row r="515" spans="2:15" x14ac:dyDescent="0.25">
      <c r="B515" s="17" t="s">
        <v>404</v>
      </c>
      <c r="C515" s="14">
        <v>0.23512747875354106</v>
      </c>
      <c r="D515" s="14">
        <v>0.88124999999999998</v>
      </c>
      <c r="F515" s="19">
        <f t="shared" si="25"/>
        <v>0.64612252124645897</v>
      </c>
      <c r="K515" s="17" t="s">
        <v>404</v>
      </c>
      <c r="L515" s="14">
        <v>1.8413597733711047E-2</v>
      </c>
      <c r="M515" s="14">
        <v>0.20937500000000001</v>
      </c>
      <c r="O515" s="19">
        <f t="shared" si="26"/>
        <v>0.19096140226628897</v>
      </c>
    </row>
    <row r="516" spans="2:15" x14ac:dyDescent="0.25">
      <c r="B516" s="17" t="s">
        <v>405</v>
      </c>
      <c r="C516" s="14">
        <v>0.54957507082152979</v>
      </c>
      <c r="D516" s="14">
        <v>0.78125</v>
      </c>
      <c r="F516" s="19">
        <f t="shared" si="25"/>
        <v>0.23167492917847021</v>
      </c>
      <c r="K516" s="17" t="s">
        <v>405</v>
      </c>
      <c r="L516" s="14">
        <v>0.10481586402266289</v>
      </c>
      <c r="M516" s="14">
        <v>0.21562500000000001</v>
      </c>
      <c r="O516" s="19">
        <f t="shared" si="26"/>
        <v>0.11080913597733712</v>
      </c>
    </row>
  </sheetData>
  <mergeCells count="35">
    <mergeCell ref="A497:A500"/>
    <mergeCell ref="J497:J500"/>
    <mergeCell ref="A480:A483"/>
    <mergeCell ref="J480:J483"/>
    <mergeCell ref="A484:A488"/>
    <mergeCell ref="J484:J488"/>
    <mergeCell ref="A492:A496"/>
    <mergeCell ref="J492:J496"/>
    <mergeCell ref="A294:A295"/>
    <mergeCell ref="L308:M308"/>
    <mergeCell ref="N308:O308"/>
    <mergeCell ref="L323:M323"/>
    <mergeCell ref="N323:O323"/>
    <mergeCell ref="A477:A479"/>
    <mergeCell ref="J477:J479"/>
    <mergeCell ref="A268:A272"/>
    <mergeCell ref="J268:J272"/>
    <mergeCell ref="J274:J280"/>
    <mergeCell ref="A276:A282"/>
    <mergeCell ref="J282:J284"/>
    <mergeCell ref="A286:A288"/>
    <mergeCell ref="J288:J289"/>
    <mergeCell ref="L238:M238"/>
    <mergeCell ref="N238:O238"/>
    <mergeCell ref="L252:M252"/>
    <mergeCell ref="N252:O252"/>
    <mergeCell ref="C266:D266"/>
    <mergeCell ref="E266:F266"/>
    <mergeCell ref="L129:M129"/>
    <mergeCell ref="N129:O129"/>
    <mergeCell ref="P129:Q129"/>
    <mergeCell ref="C153:D153"/>
    <mergeCell ref="E153:F153"/>
    <mergeCell ref="L153:M153"/>
    <mergeCell ref="N153:O153"/>
  </mergeCells>
  <conditionalFormatting sqref="F239:F248">
    <cfRule type="colorScale" priority="19">
      <colorScale>
        <cfvo type="min"/>
        <cfvo type="percentile" val="50"/>
        <cfvo type="max"/>
        <color rgb="FFF8696B"/>
        <color rgb="FFFFEB84"/>
        <color rgb="FF63BE7B"/>
      </colorScale>
    </cfRule>
  </conditionalFormatting>
  <conditionalFormatting sqref="F253:F262">
    <cfRule type="colorScale" priority="18">
      <colorScale>
        <cfvo type="min"/>
        <cfvo type="percentile" val="50"/>
        <cfvo type="max"/>
        <color rgb="FFF8696B"/>
        <color rgb="FFFFEB84"/>
        <color rgb="FF63BE7B"/>
      </colorScale>
    </cfRule>
  </conditionalFormatting>
  <conditionalFormatting sqref="F309:F319">
    <cfRule type="colorScale" priority="17">
      <colorScale>
        <cfvo type="min"/>
        <cfvo type="percentile" val="50"/>
        <cfvo type="max"/>
        <color rgb="FFF8696B"/>
        <color rgb="FFFFEB84"/>
        <color rgb="FF63BE7B"/>
      </colorScale>
    </cfRule>
  </conditionalFormatting>
  <conditionalFormatting sqref="F324:F334">
    <cfRule type="colorScale" priority="16">
      <colorScale>
        <cfvo type="min"/>
        <cfvo type="percentile" val="50"/>
        <cfvo type="max"/>
        <color rgb="FFF8696B"/>
        <color rgb="FFFFEB84"/>
        <color rgb="FF63BE7B"/>
      </colorScale>
    </cfRule>
  </conditionalFormatting>
  <conditionalFormatting sqref="F339:F349">
    <cfRule type="colorScale" priority="7">
      <colorScale>
        <cfvo type="min"/>
        <cfvo type="percentile" val="50"/>
        <cfvo type="max"/>
        <color rgb="FFF8696B"/>
        <color rgb="FFFFEB84"/>
        <color rgb="FF63BE7B"/>
      </colorScale>
    </cfRule>
  </conditionalFormatting>
  <conditionalFormatting sqref="H155:I174">
    <cfRule type="colorScale" priority="22">
      <colorScale>
        <cfvo type="min"/>
        <cfvo type="percentile" val="50"/>
        <cfvo type="max"/>
        <color rgb="FFF8696B"/>
        <color rgb="FFFFEB84"/>
        <color rgb="FF63BE7B"/>
      </colorScale>
    </cfRule>
  </conditionalFormatting>
  <conditionalFormatting sqref="S240:S249">
    <cfRule type="colorScale" priority="15">
      <colorScale>
        <cfvo type="min"/>
        <cfvo type="percentile" val="50"/>
        <cfvo type="max"/>
        <color rgb="FFF8696B"/>
        <color rgb="FFFFEB84"/>
        <color rgb="FF63BE7B"/>
      </colorScale>
    </cfRule>
  </conditionalFormatting>
  <conditionalFormatting sqref="S254:S263">
    <cfRule type="colorScale" priority="13">
      <colorScale>
        <cfvo type="min"/>
        <cfvo type="percentile" val="50"/>
        <cfvo type="max"/>
        <color rgb="FFF8696B"/>
        <color rgb="FFFFEB84"/>
        <color rgb="FF63BE7B"/>
      </colorScale>
    </cfRule>
  </conditionalFormatting>
  <conditionalFormatting sqref="S310:S320">
    <cfRule type="colorScale" priority="11">
      <colorScale>
        <cfvo type="min"/>
        <cfvo type="percentile" val="50"/>
        <cfvo type="max"/>
        <color rgb="FFF8696B"/>
        <color rgb="FFFFEB84"/>
        <color rgb="FF63BE7B"/>
      </colorScale>
    </cfRule>
  </conditionalFormatting>
  <conditionalFormatting sqref="S325:S335">
    <cfRule type="colorScale" priority="9">
      <colorScale>
        <cfvo type="min"/>
        <cfvo type="percentile" val="50"/>
        <cfvo type="max"/>
        <color rgb="FFF8696B"/>
        <color rgb="FFFFEB84"/>
        <color rgb="FF63BE7B"/>
      </colorScale>
    </cfRule>
  </conditionalFormatting>
  <conditionalFormatting sqref="S155:T162">
    <cfRule type="colorScale" priority="20">
      <colorScale>
        <cfvo type="min"/>
        <cfvo type="percentile" val="50"/>
        <cfvo type="max"/>
        <color rgb="FFF8696B"/>
        <color rgb="FFFFEB84"/>
        <color rgb="FF63BE7B"/>
      </colorScale>
    </cfRule>
  </conditionalFormatting>
  <conditionalFormatting sqref="S131:U150">
    <cfRule type="colorScale" priority="21">
      <colorScale>
        <cfvo type="min"/>
        <cfvo type="percentile" val="50"/>
        <cfvo type="max"/>
        <color rgb="FFF8696B"/>
        <color rgb="FFFFEB84"/>
        <color rgb="FF63BE7B"/>
      </colorScale>
    </cfRule>
  </conditionalFormatting>
  <conditionalFormatting sqref="T240:T249">
    <cfRule type="colorScale" priority="14">
      <colorScale>
        <cfvo type="min"/>
        <cfvo type="percentile" val="50"/>
        <cfvo type="max"/>
        <color rgb="FFF8696B"/>
        <color rgb="FFFFEB84"/>
        <color rgb="FF63BE7B"/>
      </colorScale>
    </cfRule>
  </conditionalFormatting>
  <conditionalFormatting sqref="T254:T263">
    <cfRule type="colorScale" priority="12">
      <colorScale>
        <cfvo type="min"/>
        <cfvo type="percentile" val="50"/>
        <cfvo type="max"/>
        <color rgb="FFF8696B"/>
        <color rgb="FFFFEB84"/>
        <color rgb="FF63BE7B"/>
      </colorScale>
    </cfRule>
  </conditionalFormatting>
  <conditionalFormatting sqref="T310:T320">
    <cfRule type="colorScale" priority="10">
      <colorScale>
        <cfvo type="min"/>
        <cfvo type="percentile" val="50"/>
        <cfvo type="max"/>
        <color rgb="FFF8696B"/>
        <color rgb="FFFFEB84"/>
        <color rgb="FF63BE7B"/>
      </colorScale>
    </cfRule>
  </conditionalFormatting>
  <conditionalFormatting sqref="T325:T335">
    <cfRule type="colorScale" priority="8">
      <colorScale>
        <cfvo type="min"/>
        <cfvo type="percentile" val="50"/>
        <cfvo type="max"/>
        <color rgb="FFF8696B"/>
        <color rgb="FFFFEB84"/>
        <color rgb="FF63BE7B"/>
      </colorScale>
    </cfRule>
  </conditionalFormatting>
  <conditionalFormatting sqref="F477:F488">
    <cfRule type="colorScale" priority="6">
      <colorScale>
        <cfvo type="min"/>
        <cfvo type="percentile" val="50"/>
        <cfvo type="max"/>
        <color rgb="FFF8696B"/>
        <color rgb="FFFFEB84"/>
        <color rgb="FF63BE7B"/>
      </colorScale>
    </cfRule>
  </conditionalFormatting>
  <conditionalFormatting sqref="F492:F500">
    <cfRule type="colorScale" priority="5">
      <colorScale>
        <cfvo type="min"/>
        <cfvo type="percentile" val="50"/>
        <cfvo type="max"/>
        <color rgb="FFF8696B"/>
        <color rgb="FFFFEB84"/>
        <color rgb="FF63BE7B"/>
      </colorScale>
    </cfRule>
  </conditionalFormatting>
  <conditionalFormatting sqref="F507:F516">
    <cfRule type="colorScale" priority="4">
      <colorScale>
        <cfvo type="min"/>
        <cfvo type="percentile" val="50"/>
        <cfvo type="max"/>
        <color rgb="FFF8696B"/>
        <color rgb="FFFFEB84"/>
        <color rgb="FF63BE7B"/>
      </colorScale>
    </cfRule>
  </conditionalFormatting>
  <conditionalFormatting sqref="O477:O488">
    <cfRule type="colorScale" priority="3">
      <colorScale>
        <cfvo type="min"/>
        <cfvo type="percentile" val="50"/>
        <cfvo type="max"/>
        <color rgb="FFF8696B"/>
        <color rgb="FFFFEB84"/>
        <color rgb="FF63BE7B"/>
      </colorScale>
    </cfRule>
  </conditionalFormatting>
  <conditionalFormatting sqref="O492:O500">
    <cfRule type="colorScale" priority="2">
      <colorScale>
        <cfvo type="min"/>
        <cfvo type="percentile" val="50"/>
        <cfvo type="max"/>
        <color rgb="FFF8696B"/>
        <color rgb="FFFFEB84"/>
        <color rgb="FF63BE7B"/>
      </colorScale>
    </cfRule>
  </conditionalFormatting>
  <conditionalFormatting sqref="O507:O516">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 Women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Benard Muiruri</dc:creator>
  <cp:lastModifiedBy>Benard Muiruri</cp:lastModifiedBy>
  <dcterms:created xsi:type="dcterms:W3CDTF">2026-02-24T11:38:24Z</dcterms:created>
  <dcterms:modified xsi:type="dcterms:W3CDTF">2026-02-24T11:40:07Z</dcterms:modified>
</cp:coreProperties>
</file>